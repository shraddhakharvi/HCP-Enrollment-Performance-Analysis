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ai\Bizinsights\"/>
    </mc:Choice>
  </mc:AlternateContent>
  <xr:revisionPtr revIDLastSave="0" documentId="13_ncr:1_{3442D82E-5EFD-458E-95F0-A7B0CE65FF39}" xr6:coauthVersionLast="47" xr6:coauthVersionMax="47" xr10:uidLastSave="{00000000-0000-0000-0000-000000000000}"/>
  <bookViews>
    <workbookView xWindow="-108" yWindow="-108" windowWidth="23256" windowHeight="12456" xr2:uid="{D852BDD1-EBB9-4853-B07D-8E5F86C4EE57}"/>
  </bookViews>
  <sheets>
    <sheet name="Avg_Patients  &amp; Dispenses" sheetId="1" r:id="rId1"/>
    <sheet name="Question 2,3,4,5&amp;6" sheetId="3" r:id="rId2"/>
    <sheet name="Case study Summary" sheetId="5" r:id="rId3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B4" i="3"/>
  <c r="B5" i="3"/>
  <c r="B6" i="3"/>
  <c r="B7" i="3"/>
  <c r="B3" i="3"/>
  <c r="L19" i="1"/>
  <c r="C11" i="3" s="1"/>
  <c r="B28" i="3"/>
  <c r="C28" i="3"/>
  <c r="C27" i="3"/>
  <c r="B27" i="3"/>
  <c r="C26" i="3"/>
  <c r="B26" i="3"/>
  <c r="B19" i="3"/>
  <c r="C25" i="3"/>
  <c r="B25" i="3"/>
  <c r="B20" i="3"/>
  <c r="C12" i="3"/>
  <c r="C13" i="3"/>
  <c r="C14" i="3"/>
  <c r="B12" i="3"/>
  <c r="B13" i="3"/>
  <c r="B14" i="3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<sst xmlns="http://schemas.openxmlformats.org/spreadsheetml/2006/main" count="1241" uniqueCount="80">
  <si>
    <t>Specialty</t>
  </si>
  <si>
    <t>Date of 1st Dispense</t>
  </si>
  <si>
    <t>Date of last Dispense</t>
  </si>
  <si>
    <t>Enrollments</t>
  </si>
  <si>
    <t>NPS</t>
  </si>
  <si>
    <t>Discontinuations</t>
  </si>
  <si>
    <t>Area Name</t>
  </si>
  <si>
    <t>Active HCP</t>
  </si>
  <si>
    <t>AI</t>
  </si>
  <si>
    <t>WEST</t>
  </si>
  <si>
    <t>Active</t>
  </si>
  <si>
    <t>NA</t>
  </si>
  <si>
    <t>A</t>
  </si>
  <si>
    <t>MIDWEST</t>
  </si>
  <si>
    <t>CENTRAL</t>
  </si>
  <si>
    <t>NORTHEAST</t>
  </si>
  <si>
    <t>Inactive</t>
  </si>
  <si>
    <t>PDA</t>
  </si>
  <si>
    <t>FM</t>
  </si>
  <si>
    <t>SOUTHEAST</t>
  </si>
  <si>
    <t>PD</t>
  </si>
  <si>
    <t>OTO</t>
  </si>
  <si>
    <t>PDE</t>
  </si>
  <si>
    <t>GP</t>
  </si>
  <si>
    <t>IG</t>
  </si>
  <si>
    <t>PPR</t>
  </si>
  <si>
    <t>D</t>
  </si>
  <si>
    <t>IM</t>
  </si>
  <si>
    <t>UP</t>
  </si>
  <si>
    <t>PCC</t>
  </si>
  <si>
    <t>PUD</t>
  </si>
  <si>
    <t>Sample Data</t>
  </si>
  <si>
    <t>HCP is Active if there is a last dispense in the last 4 months</t>
  </si>
  <si>
    <t>Data as-of Sep 23, 2022</t>
  </si>
  <si>
    <t>Questions:</t>
  </si>
  <si>
    <t>HCP counts by Rx duration bucket (i.e. how long HCPs have been writing Rx)?</t>
  </si>
  <si>
    <t>Top 5 specialities by enrollment?</t>
  </si>
  <si>
    <t>Are there differences in HCPs who started writing in 2021 vs. 2022?</t>
  </si>
  <si>
    <t>Add a random unique identifier for each HCP</t>
  </si>
  <si>
    <t xml:space="preserve">HCP Unqiue Identifier </t>
  </si>
  <si>
    <t>What is the average enrollment by HCP Rx duration buckets?</t>
  </si>
  <si>
    <t>what is the average NPS / HCP for HCPs who started writing in 2021 vs. 2022?</t>
  </si>
  <si>
    <t>Total Enrollment</t>
  </si>
  <si>
    <t>0-3 Months</t>
  </si>
  <si>
    <t>3-6 Months</t>
  </si>
  <si>
    <t>6-12 Months</t>
  </si>
  <si>
    <t>12+ Months</t>
  </si>
  <si>
    <t>Average Enrollment</t>
  </si>
  <si>
    <t>Rx Duration(Days)</t>
  </si>
  <si>
    <t xml:space="preserve">Rx Duration Buckets </t>
  </si>
  <si>
    <t>Question3 HCP Count</t>
  </si>
  <si>
    <t>Question 4 Average Enrollement</t>
  </si>
  <si>
    <t>Average NPS 2021 vs 2022</t>
  </si>
  <si>
    <t>Question 5</t>
  </si>
  <si>
    <t xml:space="preserve">Start Year </t>
  </si>
  <si>
    <t>Average NPS</t>
  </si>
  <si>
    <t>2021 vs 2022 Comparison</t>
  </si>
  <si>
    <t>Metric</t>
  </si>
  <si>
    <t>Average Discontinuations</t>
  </si>
  <si>
    <t>Active HCP %</t>
  </si>
  <si>
    <t xml:space="preserve">Question 6 </t>
  </si>
  <si>
    <t>Top 5 Specialties by Enrollment</t>
  </si>
  <si>
    <t>Question -2</t>
  </si>
  <si>
    <t>QUESTION 1</t>
  </si>
  <si>
    <t>A unique identifier was created for each HCP using a random formula to ensure confidentiality and avoid duplication during analysis.</t>
  </si>
  <si>
    <t>QUESTION 2</t>
  </si>
  <si>
    <t>Total enrollments were aggregated using the SUMIF function and Sorted to identify the top 5 specialties based on highest patient enrollment.</t>
  </si>
  <si>
    <t>QUESTION 3</t>
  </si>
  <si>
    <t>HCPs were grouped into prescription duration buckets based on the difference between first and last dispense dates, and total HCP count was calculated for each bucket.</t>
  </si>
  <si>
    <t>QUESTION 4</t>
  </si>
  <si>
    <t>Average patient enrollments were calculated for each Rx duration bucket using the AVERAGEIF function to understand engagement levels over time.</t>
  </si>
  <si>
    <t>QUESTION 5</t>
  </si>
  <si>
    <t>HCPs were segmented based on the year they started writing prescriptions, and the average Net Promoter Score (NPS) was calculated for each year group.</t>
  </si>
  <si>
    <t>QUESTION 6</t>
  </si>
  <si>
    <t>A comparative analysis was performed between HCPs who started in 2021 and 2022 based on enrollments, discontinuations, Rx duration, and NPS to identify behavioral differences.</t>
  </si>
  <si>
    <t>FINAL OBSERVATION</t>
  </si>
  <si>
    <t>HCPs with longer Rx duration show higher average enrollments.</t>
  </si>
  <si>
    <r>
      <t xml:space="preserve">The </t>
    </r>
    <r>
      <rPr>
        <b/>
        <sz val="11"/>
        <color theme="1"/>
        <rFont val="Calibri"/>
        <family val="2"/>
        <scheme val="minor"/>
      </rPr>
      <t>average enrollment is nearly the same for both 2021 (34.30) and 2022 (34.76)</t>
    </r>
    <r>
      <rPr>
        <sz val="11"/>
        <color theme="1"/>
        <rFont val="Calibri"/>
        <family val="2"/>
        <scheme val="minor"/>
      </rPr>
      <t>, indicating stable patient conversion performance across cohorts.</t>
    </r>
  </si>
  <si>
    <r>
      <t xml:space="preserve">The </t>
    </r>
    <r>
      <rPr>
        <b/>
        <sz val="11"/>
        <color theme="1"/>
        <rFont val="Calibri"/>
        <family val="2"/>
        <scheme val="minor"/>
      </rPr>
      <t>average NPS for 2022 (26.57)</t>
    </r>
    <r>
      <rPr>
        <sz val="11"/>
        <color theme="1"/>
        <rFont val="Calibri"/>
        <family val="2"/>
        <scheme val="minor"/>
      </rPr>
      <t xml:space="preserve"> is higher than </t>
    </r>
    <r>
      <rPr>
        <b/>
        <sz val="11"/>
        <color theme="1"/>
        <rFont val="Calibri"/>
        <family val="2"/>
        <scheme val="minor"/>
      </rPr>
      <t>2021 (24.67)</t>
    </r>
    <r>
      <rPr>
        <sz val="11"/>
        <color theme="1"/>
        <rFont val="Calibri"/>
        <family val="2"/>
        <scheme val="minor"/>
      </rPr>
      <t>, suggesting improved onboarding, support, or product acceptance in recent years.</t>
    </r>
  </si>
  <si>
    <r>
      <rPr>
        <b/>
        <sz val="11"/>
        <color theme="1"/>
        <rFont val="Calibri"/>
        <family val="2"/>
        <scheme val="minor"/>
      </rPr>
      <t>Top 5 specialties</t>
    </r>
    <r>
      <rPr>
        <sz val="11"/>
        <color theme="1"/>
        <rFont val="Calibri"/>
        <family val="2"/>
        <scheme val="minor"/>
      </rPr>
      <t xml:space="preserve"> contribute the majority of total enrollments.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</si>
</sst>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1" applyNumberFormat="1" applyFont="1"/>
    <xf numFmtId="9" fontId="0" fillId="0" borderId="0" xfId="2" applyFont="1" applyAlignment="1">
      <alignment horizontal="center"/>
    </xf>
    <xf numFmtId="2" fontId="0" fillId="0" borderId="0" xfId="0" applyNumberFormat="1"/>
    <xf numFmtId="164" fontId="0" fillId="0" borderId="0" xfId="1" applyNumberFormat="1" applyFont="1" applyAlignment="1">
      <alignment horizontal="center"/>
    </xf>
    <xf numFmtId="9" fontId="0" fillId="0" borderId="0" xfId="2" applyFont="1"/>
    <xf numFmtId="10" fontId="0" fillId="0" borderId="0" xfId="2" applyNumberFormat="1" applyFont="1"/>
    <xf numFmtId="0" fontId="0" fillId="0" borderId="2" xfId="0" applyBorder="1"/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0" fillId="0" borderId="0" xfId="0" applyAlignment="1">
      <alignment horizontal="right"/>
    </xf>
    <xf numFmtId="1" fontId="2" fillId="2" borderId="1" xfId="0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3" borderId="0" xfId="0" applyFill="1"/>
    <xf numFmtId="164" fontId="2" fillId="2" borderId="2" xfId="1" applyNumberFormat="1" applyFont="1" applyFill="1" applyBorder="1" applyAlignment="1">
      <alignment horizontal="center" vertical="center" wrapText="1"/>
    </xf>
    <xf numFmtId="0" fontId="2" fillId="4" borderId="0" xfId="0" applyFont="1" applyFill="1"/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/>
    <xf numFmtId="0" fontId="0" fillId="4" borderId="2" xfId="0" applyFill="1" applyBorder="1"/>
    <xf numFmtId="0" fontId="2" fillId="5" borderId="2" xfId="0" applyFont="1" applyFill="1" applyBorder="1"/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right" wrapText="1" indent="1"/>
    </xf>
    <xf numFmtId="0" fontId="0" fillId="5" borderId="2" xfId="0" applyFill="1" applyBorder="1"/>
    <xf numFmtId="0" fontId="2" fillId="4" borderId="0" xfId="0" applyFont="1" applyFill="1" applyAlignment="1">
      <alignment wrapText="1"/>
    </xf>
    <xf numFmtId="0" fontId="2" fillId="0" borderId="2" xfId="0" applyFont="1" applyBorder="1"/>
    <xf numFmtId="1" fontId="0" fillId="5" borderId="2" xfId="0" applyNumberFormat="1" applyFill="1" applyBorder="1"/>
    <xf numFmtId="0" fontId="2" fillId="5" borderId="2" xfId="0" applyFont="1" applyFill="1" applyBorder="1" applyAlignment="1">
      <alignment horizontal="center"/>
    </xf>
    <xf numFmtId="1" fontId="2" fillId="5" borderId="2" xfId="0" applyNumberFormat="1" applyFont="1" applyFill="1" applyBorder="1"/>
    <xf numFmtId="1" fontId="2" fillId="4" borderId="2" xfId="0" applyNumberFormat="1" applyFont="1" applyFill="1" applyBorder="1"/>
    <xf numFmtId="0" fontId="2" fillId="0" borderId="0" xfId="0" applyFont="1" applyBorder="1"/>
    <xf numFmtId="0" fontId="0" fillId="0" borderId="0" xfId="0" applyBorder="1"/>
    <xf numFmtId="0" fontId="0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m/d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m/d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D3521E-AB21-4F11-8CB6-6E9AFB577D13}" name="Table1" displayName="Table1" ref="B2:L394" totalsRowShown="0" headerRowDxfId="16" headerRowBorderDxfId="15" tableBorderDxfId="14" totalsRowBorderDxfId="13" headerRowCellStyle="Comma">
  <autoFilter ref="B2:L394" xr:uid="{88D3521E-AB21-4F11-8CB6-6E9AFB577D13}"/>
  <tableColumns count="11">
    <tableColumn id="1" xr3:uid="{C65DDF4A-AA23-4150-8653-42552ADA6073}" name="HCP Unqiue Identifier " dataDxfId="12">
      <calculatedColumnFormula>"HCP_"&amp;TEXT(RANDBETWEEN(100000,999999),"000000")</calculatedColumnFormula>
    </tableColumn>
    <tableColumn id="19" xr3:uid="{A0ADDDC4-F028-437A-98F2-8D0979752975}" name="Specialty" dataDxfId="11"/>
    <tableColumn id="6" xr3:uid="{5F70E6CA-51BA-43A7-91EE-431D056586E3}" name="Date of 1st Dispense" dataDxfId="10"/>
    <tableColumn id="7" xr3:uid="{0CC2E9B4-7A30-4359-816A-6E2BCA4C9CAD}" name="Date of last Dispense" dataDxfId="9"/>
    <tableColumn id="10" xr3:uid="{0D864B7C-133D-4256-8E69-58C41741664E}" name="Enrollments" dataDxfId="8" dataCellStyle="Comma"/>
    <tableColumn id="22" xr3:uid="{2033792E-9B3C-4F25-A4F7-88E0ED348742}" name="NPS" dataDxfId="7"/>
    <tableColumn id="8" xr3:uid="{90E45DF0-53B2-4C75-83B0-10E9F6DE9003}" name="Discontinuations" dataDxfId="6"/>
    <tableColumn id="14" xr3:uid="{5CCD92DC-0DF9-4F05-A7D2-7E2599E8DA03}" name="Area Name" dataDxfId="5"/>
    <tableColumn id="18" xr3:uid="{D1C8DF08-9751-40BC-AA4A-A96F607895FC}" name="Active HCP" dataDxfId="4"/>
    <tableColumn id="2" xr3:uid="{9BEF7EEA-B1EE-4048-9743-40D7B40E630C}" name="Rx Duration(Days)" dataDxfId="3">
      <calculatedColumnFormula>Table1[[#This Row],[Date of last Dispense]]-Table1[[#This Row],[Date of 1st Dispense]]</calculatedColumnFormula>
    </tableColumn>
    <tableColumn id="3" xr3:uid="{53476749-299A-44E5-967D-19E6B8C95D64}" name="Rx Duration Buckets " dataDxfId="2">
      <calculatedColumnFormula>IF(K3&lt;=90, "0-3 Months",IF(K3&lt;=180,"3-6 Months",IF(K3&lt;=365, "6-12 Months", "12+ Months")))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7E2A0-5379-4C83-A452-EBB2D3106249}">
  <dimension ref="B1:X394"/>
  <sheetViews>
    <sheetView tabSelected="1" topLeftCell="C1" zoomScaleNormal="100" workbookViewId="0">
      <selection activeCell="H16" sqref="H15:H16"/>
    </sheetView>
  </sheetViews>
  <sheetFormatPr defaultRowHeight="14.4" x14ac:dyDescent="0.3"/>
  <cols>
    <col min="1" max="1" width="3.5546875" customWidth="1"/>
    <col min="2" max="2" width="25.44140625" style="1" customWidth="1"/>
    <col min="3" max="3" width="13.5546875" customWidth="1"/>
    <col min="4" max="4" width="26.109375" style="2" customWidth="1"/>
    <col min="5" max="5" width="21.88671875" style="2" customWidth="1"/>
    <col min="6" max="6" width="21.33203125" style="2" customWidth="1"/>
    <col min="7" max="8" width="20.109375" style="2" customWidth="1"/>
    <col min="9" max="9" width="19.6640625" style="4" customWidth="1"/>
    <col min="10" max="10" width="23.6640625" customWidth="1"/>
    <col min="11" max="12" width="15.88671875" customWidth="1"/>
    <col min="13" max="13" width="20.6640625" style="17" customWidth="1"/>
    <col min="14" max="14" width="20.6640625" style="6" customWidth="1"/>
    <col min="15" max="15" width="20.44140625" customWidth="1"/>
    <col min="16" max="16" width="12.6640625" customWidth="1"/>
    <col min="17" max="17" width="25.5546875" style="7" customWidth="1"/>
    <col min="18" max="18" width="24.109375" style="4" customWidth="1"/>
    <col min="19" max="19" width="17" bestFit="1" customWidth="1"/>
    <col min="20" max="20" width="17.109375" customWidth="1"/>
    <col min="21" max="21" width="9.109375" customWidth="1"/>
    <col min="22" max="22" width="13.5546875" style="1" bestFit="1" customWidth="1"/>
    <col min="23" max="23" width="11.109375" style="8" customWidth="1"/>
    <col min="24" max="24" width="19.109375" style="9" bestFit="1" customWidth="1"/>
  </cols>
  <sheetData>
    <row r="1" spans="2:24" x14ac:dyDescent="0.3">
      <c r="G1" s="3"/>
      <c r="H1" s="3"/>
      <c r="J1" s="4"/>
      <c r="K1" s="5"/>
      <c r="L1" s="5"/>
      <c r="M1" s="5"/>
    </row>
    <row r="2" spans="2:24" ht="28.8" x14ac:dyDescent="0.3">
      <c r="B2" s="18" t="s">
        <v>39</v>
      </c>
      <c r="C2" s="19" t="s">
        <v>0</v>
      </c>
      <c r="D2" s="20" t="s">
        <v>1</v>
      </c>
      <c r="E2" s="20" t="s">
        <v>2</v>
      </c>
      <c r="F2" s="19" t="s">
        <v>3</v>
      </c>
      <c r="G2" s="19" t="s">
        <v>4</v>
      </c>
      <c r="H2" s="19" t="s">
        <v>5</v>
      </c>
      <c r="I2" s="21" t="s">
        <v>6</v>
      </c>
      <c r="J2" s="22" t="s">
        <v>7</v>
      </c>
      <c r="K2" s="25" t="s">
        <v>48</v>
      </c>
      <c r="L2" s="25" t="s">
        <v>49</v>
      </c>
      <c r="M2"/>
      <c r="N2"/>
      <c r="Q2"/>
      <c r="R2"/>
      <c r="V2"/>
      <c r="W2"/>
      <c r="X2"/>
    </row>
    <row r="3" spans="2:24" x14ac:dyDescent="0.3">
      <c r="B3" s="10" t="str">
        <f t="shared" ref="B3:B66" ca="1" si="0">"HCP_"&amp;TEXT(RANDBETWEEN(100000,999999),"000000")</f>
        <v>HCP_346714</v>
      </c>
      <c r="C3" s="11" t="s">
        <v>8</v>
      </c>
      <c r="D3" s="12">
        <v>44620</v>
      </c>
      <c r="E3" s="12">
        <v>44818</v>
      </c>
      <c r="F3" s="11">
        <v>28</v>
      </c>
      <c r="G3" s="11">
        <v>37</v>
      </c>
      <c r="H3" s="11">
        <v>28</v>
      </c>
      <c r="I3" s="11" t="s">
        <v>9</v>
      </c>
      <c r="J3" s="13" t="s">
        <v>10</v>
      </c>
      <c r="K3" s="10">
        <f>Table1[[#This Row],[Date of last Dispense]]-Table1[[#This Row],[Date of 1st Dispense]]</f>
        <v>198</v>
      </c>
      <c r="L3" s="10" t="str">
        <f t="shared" ref="L3:L66" si="1">IF(K3&lt;=90, "0-3 Months",IF(K3&lt;=180,"3-6 Months",IF(K3&lt;=365, "6-12 Months", "12+ Months")))</f>
        <v>6-12 Months</v>
      </c>
      <c r="M3"/>
      <c r="N3"/>
      <c r="Q3"/>
      <c r="R3"/>
      <c r="V3"/>
      <c r="W3"/>
      <c r="X3"/>
    </row>
    <row r="4" spans="2:24" x14ac:dyDescent="0.3">
      <c r="B4" s="10" t="str">
        <f t="shared" ca="1" si="0"/>
        <v>HCP_557592</v>
      </c>
      <c r="C4" s="11" t="s">
        <v>11</v>
      </c>
      <c r="D4" s="12">
        <v>44616</v>
      </c>
      <c r="E4" s="12">
        <v>44805</v>
      </c>
      <c r="F4" s="11">
        <v>51</v>
      </c>
      <c r="G4" s="11">
        <v>17</v>
      </c>
      <c r="H4" s="11">
        <v>18</v>
      </c>
      <c r="I4" s="11" t="s">
        <v>11</v>
      </c>
      <c r="J4" s="13" t="s">
        <v>10</v>
      </c>
      <c r="K4" s="10">
        <f>Table1[[#This Row],[Date of last Dispense]]-Table1[[#This Row],[Date of 1st Dispense]]</f>
        <v>189</v>
      </c>
      <c r="L4" s="10" t="str">
        <f t="shared" si="1"/>
        <v>6-12 Months</v>
      </c>
      <c r="M4"/>
      <c r="N4"/>
      <c r="Q4"/>
      <c r="R4"/>
      <c r="V4"/>
      <c r="W4"/>
      <c r="X4"/>
    </row>
    <row r="5" spans="2:24" x14ac:dyDescent="0.3">
      <c r="B5" s="10" t="str">
        <f t="shared" ca="1" si="0"/>
        <v>HCP_532300</v>
      </c>
      <c r="C5" s="11" t="s">
        <v>12</v>
      </c>
      <c r="D5" s="12">
        <v>44614</v>
      </c>
      <c r="E5" s="12">
        <v>44825</v>
      </c>
      <c r="F5" s="11">
        <v>41</v>
      </c>
      <c r="G5" s="11">
        <v>35</v>
      </c>
      <c r="H5" s="11">
        <v>7</v>
      </c>
      <c r="I5" s="11" t="s">
        <v>13</v>
      </c>
      <c r="J5" s="13" t="s">
        <v>10</v>
      </c>
      <c r="K5" s="10">
        <f>Table1[[#This Row],[Date of last Dispense]]-Table1[[#This Row],[Date of 1st Dispense]]</f>
        <v>211</v>
      </c>
      <c r="L5" s="10" t="str">
        <f t="shared" si="1"/>
        <v>6-12 Months</v>
      </c>
      <c r="M5"/>
      <c r="N5"/>
      <c r="Q5"/>
      <c r="R5"/>
      <c r="V5"/>
      <c r="W5"/>
      <c r="X5"/>
    </row>
    <row r="6" spans="2:24" x14ac:dyDescent="0.3">
      <c r="B6" s="10" t="str">
        <f t="shared" ca="1" si="0"/>
        <v>HCP_701792</v>
      </c>
      <c r="C6" s="11" t="s">
        <v>8</v>
      </c>
      <c r="D6" s="12">
        <v>44613</v>
      </c>
      <c r="E6" s="12">
        <v>44796</v>
      </c>
      <c r="F6" s="11">
        <v>37</v>
      </c>
      <c r="G6" s="11">
        <v>7</v>
      </c>
      <c r="H6" s="11">
        <v>14</v>
      </c>
      <c r="I6" s="11" t="s">
        <v>13</v>
      </c>
      <c r="J6" s="13" t="s">
        <v>10</v>
      </c>
      <c r="K6" s="10">
        <f>Table1[[#This Row],[Date of last Dispense]]-Table1[[#This Row],[Date of 1st Dispense]]</f>
        <v>183</v>
      </c>
      <c r="L6" s="10" t="str">
        <f t="shared" si="1"/>
        <v>6-12 Months</v>
      </c>
      <c r="M6"/>
      <c r="N6"/>
      <c r="Q6"/>
      <c r="R6"/>
      <c r="V6"/>
      <c r="W6"/>
      <c r="X6"/>
    </row>
    <row r="7" spans="2:24" x14ac:dyDescent="0.3">
      <c r="B7" s="10" t="str">
        <f t="shared" ca="1" si="0"/>
        <v>HCP_147487</v>
      </c>
      <c r="C7" s="11" t="s">
        <v>8</v>
      </c>
      <c r="D7" s="12">
        <v>44606</v>
      </c>
      <c r="E7" s="12">
        <v>44816</v>
      </c>
      <c r="F7" s="11">
        <v>17</v>
      </c>
      <c r="G7" s="11">
        <v>36</v>
      </c>
      <c r="H7" s="11">
        <v>22</v>
      </c>
      <c r="I7" s="11" t="s">
        <v>14</v>
      </c>
      <c r="J7" s="13" t="s">
        <v>10</v>
      </c>
      <c r="K7" s="10">
        <f>Table1[[#This Row],[Date of last Dispense]]-Table1[[#This Row],[Date of 1st Dispense]]</f>
        <v>210</v>
      </c>
      <c r="L7" s="10" t="str">
        <f t="shared" si="1"/>
        <v>6-12 Months</v>
      </c>
      <c r="M7"/>
      <c r="N7"/>
      <c r="Q7"/>
      <c r="R7"/>
      <c r="V7"/>
      <c r="W7"/>
      <c r="X7"/>
    </row>
    <row r="8" spans="2:24" x14ac:dyDescent="0.3">
      <c r="B8" s="10" t="str">
        <f t="shared" ca="1" si="0"/>
        <v>HCP_745332</v>
      </c>
      <c r="C8" s="11" t="s">
        <v>8</v>
      </c>
      <c r="D8" s="12">
        <v>44606</v>
      </c>
      <c r="E8" s="12">
        <v>44679</v>
      </c>
      <c r="F8" s="11">
        <v>53</v>
      </c>
      <c r="G8" s="11">
        <v>14</v>
      </c>
      <c r="H8" s="11">
        <v>7</v>
      </c>
      <c r="I8" s="11" t="s">
        <v>15</v>
      </c>
      <c r="J8" s="13" t="s">
        <v>16</v>
      </c>
      <c r="K8" s="10">
        <f>Table1[[#This Row],[Date of last Dispense]]-Table1[[#This Row],[Date of 1st Dispense]]</f>
        <v>73</v>
      </c>
      <c r="L8" s="10" t="str">
        <f t="shared" si="1"/>
        <v>0-3 Months</v>
      </c>
      <c r="M8"/>
      <c r="N8"/>
      <c r="Q8"/>
      <c r="R8"/>
      <c r="V8"/>
      <c r="W8"/>
      <c r="X8"/>
    </row>
    <row r="9" spans="2:24" x14ac:dyDescent="0.3">
      <c r="B9" s="10" t="str">
        <f t="shared" ca="1" si="0"/>
        <v>HCP_780341</v>
      </c>
      <c r="C9" s="11" t="s">
        <v>17</v>
      </c>
      <c r="D9" s="12">
        <v>44602</v>
      </c>
      <c r="E9" s="12">
        <v>44826</v>
      </c>
      <c r="F9" s="11">
        <v>36</v>
      </c>
      <c r="G9" s="11">
        <v>43</v>
      </c>
      <c r="H9" s="11">
        <v>4</v>
      </c>
      <c r="I9" s="11" t="s">
        <v>14</v>
      </c>
      <c r="J9" s="13" t="s">
        <v>10</v>
      </c>
      <c r="K9" s="10">
        <f>Table1[[#This Row],[Date of last Dispense]]-Table1[[#This Row],[Date of 1st Dispense]]</f>
        <v>224</v>
      </c>
      <c r="L9" s="10" t="str">
        <f t="shared" si="1"/>
        <v>6-12 Months</v>
      </c>
      <c r="M9" t="s">
        <v>31</v>
      </c>
      <c r="N9"/>
      <c r="Q9"/>
      <c r="R9"/>
      <c r="V9"/>
      <c r="W9"/>
      <c r="X9"/>
    </row>
    <row r="10" spans="2:24" x14ac:dyDescent="0.3">
      <c r="B10" s="10" t="str">
        <f t="shared" ca="1" si="0"/>
        <v>HCP_210473</v>
      </c>
      <c r="C10" s="11" t="s">
        <v>8</v>
      </c>
      <c r="D10" s="12">
        <v>44602</v>
      </c>
      <c r="E10" s="12">
        <v>44811</v>
      </c>
      <c r="F10" s="11">
        <v>63</v>
      </c>
      <c r="G10" s="11">
        <v>21</v>
      </c>
      <c r="H10" s="11">
        <v>29</v>
      </c>
      <c r="I10" s="11" t="s">
        <v>9</v>
      </c>
      <c r="J10" s="13" t="s">
        <v>10</v>
      </c>
      <c r="K10" s="10">
        <f>Table1[[#This Row],[Date of last Dispense]]-Table1[[#This Row],[Date of 1st Dispense]]</f>
        <v>209</v>
      </c>
      <c r="L10" s="10" t="str">
        <f t="shared" si="1"/>
        <v>6-12 Months</v>
      </c>
      <c r="M10" t="s">
        <v>33</v>
      </c>
      <c r="N10"/>
      <c r="Q10"/>
      <c r="R10"/>
      <c r="V10"/>
      <c r="W10"/>
      <c r="X10"/>
    </row>
    <row r="11" spans="2:24" x14ac:dyDescent="0.3">
      <c r="B11" s="10" t="str">
        <f t="shared" ca="1" si="0"/>
        <v>HCP_987854</v>
      </c>
      <c r="C11" s="11" t="s">
        <v>18</v>
      </c>
      <c r="D11" s="12">
        <v>44600</v>
      </c>
      <c r="E11" s="12">
        <v>44825</v>
      </c>
      <c r="F11" s="11">
        <v>36</v>
      </c>
      <c r="G11" s="11">
        <v>34</v>
      </c>
      <c r="H11" s="11">
        <v>7</v>
      </c>
      <c r="I11" s="11" t="s">
        <v>14</v>
      </c>
      <c r="J11" s="13" t="s">
        <v>10</v>
      </c>
      <c r="K11" s="10">
        <f>Table1[[#This Row],[Date of last Dispense]]-Table1[[#This Row],[Date of 1st Dispense]]</f>
        <v>225</v>
      </c>
      <c r="L11" s="10" t="str">
        <f t="shared" si="1"/>
        <v>6-12 Months</v>
      </c>
      <c r="M11" t="s">
        <v>32</v>
      </c>
      <c r="N11"/>
      <c r="Q11"/>
      <c r="R11"/>
      <c r="V11"/>
      <c r="W11"/>
      <c r="X11"/>
    </row>
    <row r="12" spans="2:24" x14ac:dyDescent="0.3">
      <c r="B12" s="10" t="str">
        <f t="shared" ca="1" si="0"/>
        <v>HCP_594265</v>
      </c>
      <c r="C12" s="11" t="s">
        <v>8</v>
      </c>
      <c r="D12" s="12">
        <v>44599</v>
      </c>
      <c r="E12" s="12">
        <v>44824</v>
      </c>
      <c r="F12" s="11">
        <v>57</v>
      </c>
      <c r="G12" s="11">
        <v>15</v>
      </c>
      <c r="H12" s="11">
        <v>28</v>
      </c>
      <c r="I12" s="11" t="s">
        <v>9</v>
      </c>
      <c r="J12" s="13" t="s">
        <v>10</v>
      </c>
      <c r="K12" s="10">
        <f>Table1[[#This Row],[Date of last Dispense]]-Table1[[#This Row],[Date of 1st Dispense]]</f>
        <v>225</v>
      </c>
      <c r="L12" s="10" t="str">
        <f t="shared" si="1"/>
        <v>6-12 Months</v>
      </c>
      <c r="M12"/>
      <c r="N12"/>
      <c r="Q12"/>
      <c r="R12"/>
      <c r="V12"/>
      <c r="W12"/>
      <c r="X12"/>
    </row>
    <row r="13" spans="2:24" x14ac:dyDescent="0.3">
      <c r="B13" s="10" t="str">
        <f t="shared" ca="1" si="0"/>
        <v>HCP_245192</v>
      </c>
      <c r="C13" s="11" t="s">
        <v>8</v>
      </c>
      <c r="D13" s="12">
        <v>44592</v>
      </c>
      <c r="E13" s="12">
        <v>44804</v>
      </c>
      <c r="F13" s="11">
        <v>69</v>
      </c>
      <c r="G13" s="11">
        <v>28</v>
      </c>
      <c r="H13" s="11">
        <v>26</v>
      </c>
      <c r="I13" s="11" t="s">
        <v>9</v>
      </c>
      <c r="J13" s="13" t="s">
        <v>10</v>
      </c>
      <c r="K13" s="10">
        <f>Table1[[#This Row],[Date of last Dispense]]-Table1[[#This Row],[Date of 1st Dispense]]</f>
        <v>212</v>
      </c>
      <c r="L13" s="10" t="str">
        <f t="shared" si="1"/>
        <v>6-12 Months</v>
      </c>
      <c r="M13" s="24" t="s">
        <v>34</v>
      </c>
      <c r="N13"/>
      <c r="Q13"/>
      <c r="R13"/>
      <c r="V13"/>
      <c r="W13"/>
      <c r="X13"/>
    </row>
    <row r="14" spans="2:24" x14ac:dyDescent="0.3">
      <c r="B14" s="10" t="str">
        <f t="shared" ca="1" si="0"/>
        <v>HCP_589154</v>
      </c>
      <c r="C14" s="11" t="s">
        <v>17</v>
      </c>
      <c r="D14" s="12">
        <v>44592</v>
      </c>
      <c r="E14" s="12">
        <v>44592</v>
      </c>
      <c r="F14" s="11">
        <v>52</v>
      </c>
      <c r="G14" s="11">
        <v>36</v>
      </c>
      <c r="H14" s="11">
        <v>16</v>
      </c>
      <c r="I14" s="11" t="s">
        <v>19</v>
      </c>
      <c r="J14" s="13" t="s">
        <v>16</v>
      </c>
      <c r="K14" s="10">
        <f>Table1[[#This Row],[Date of last Dispense]]-Table1[[#This Row],[Date of 1st Dispense]]</f>
        <v>0</v>
      </c>
      <c r="L14" s="10" t="str">
        <f t="shared" si="1"/>
        <v>0-3 Months</v>
      </c>
      <c r="M14" t="s">
        <v>38</v>
      </c>
      <c r="N14"/>
      <c r="Q14"/>
      <c r="R14"/>
      <c r="V14"/>
      <c r="W14"/>
      <c r="X14"/>
    </row>
    <row r="15" spans="2:24" x14ac:dyDescent="0.3">
      <c r="B15" s="10" t="str">
        <f t="shared" ca="1" si="0"/>
        <v>HCP_983296</v>
      </c>
      <c r="C15" s="11" t="s">
        <v>8</v>
      </c>
      <c r="D15" s="12">
        <v>44586</v>
      </c>
      <c r="E15" s="12">
        <v>44825</v>
      </c>
      <c r="F15" s="11">
        <v>37</v>
      </c>
      <c r="G15" s="11">
        <v>29</v>
      </c>
      <c r="H15" s="11">
        <v>0</v>
      </c>
      <c r="I15" s="11" t="s">
        <v>15</v>
      </c>
      <c r="J15" s="13" t="s">
        <v>10</v>
      </c>
      <c r="K15" s="10">
        <f>Table1[[#This Row],[Date of last Dispense]]-Table1[[#This Row],[Date of 1st Dispense]]</f>
        <v>239</v>
      </c>
      <c r="L15" s="10" t="str">
        <f t="shared" si="1"/>
        <v>6-12 Months</v>
      </c>
      <c r="M15" t="s">
        <v>36</v>
      </c>
      <c r="N15"/>
      <c r="Q15"/>
      <c r="R15"/>
      <c r="V15"/>
      <c r="W15"/>
      <c r="X15"/>
    </row>
    <row r="16" spans="2:24" x14ac:dyDescent="0.3">
      <c r="B16" s="10" t="str">
        <f t="shared" ca="1" si="0"/>
        <v>HCP_563698</v>
      </c>
      <c r="C16" s="11" t="s">
        <v>8</v>
      </c>
      <c r="D16" s="12">
        <v>44585</v>
      </c>
      <c r="E16" s="12">
        <v>44825</v>
      </c>
      <c r="F16" s="11">
        <v>4</v>
      </c>
      <c r="G16" s="11">
        <v>1</v>
      </c>
      <c r="H16" s="11">
        <v>16</v>
      </c>
      <c r="I16" s="11" t="s">
        <v>11</v>
      </c>
      <c r="J16" s="13" t="s">
        <v>10</v>
      </c>
      <c r="K16" s="10">
        <f>Table1[[#This Row],[Date of last Dispense]]-Table1[[#This Row],[Date of 1st Dispense]]</f>
        <v>240</v>
      </c>
      <c r="L16" s="10" t="str">
        <f t="shared" si="1"/>
        <v>6-12 Months</v>
      </c>
      <c r="M16" s="23" t="s">
        <v>35</v>
      </c>
      <c r="N16"/>
      <c r="Q16"/>
      <c r="R16"/>
      <c r="V16"/>
      <c r="W16"/>
      <c r="X16"/>
    </row>
    <row r="17" spans="2:24" x14ac:dyDescent="0.3">
      <c r="B17" s="10" t="str">
        <f t="shared" ca="1" si="0"/>
        <v>HCP_868146</v>
      </c>
      <c r="C17" s="11" t="s">
        <v>17</v>
      </c>
      <c r="D17" s="12">
        <v>44581</v>
      </c>
      <c r="E17" s="12">
        <v>44819</v>
      </c>
      <c r="F17" s="11">
        <v>2</v>
      </c>
      <c r="G17" s="11">
        <v>41</v>
      </c>
      <c r="H17" s="11">
        <v>27</v>
      </c>
      <c r="I17" s="11" t="s">
        <v>9</v>
      </c>
      <c r="J17" s="13" t="s">
        <v>10</v>
      </c>
      <c r="K17" s="10">
        <f>Table1[[#This Row],[Date of last Dispense]]-Table1[[#This Row],[Date of 1st Dispense]]</f>
        <v>238</v>
      </c>
      <c r="L17" s="10" t="str">
        <f t="shared" si="1"/>
        <v>6-12 Months</v>
      </c>
      <c r="M17" t="s">
        <v>40</v>
      </c>
      <c r="N17"/>
      <c r="Q17"/>
      <c r="R17"/>
      <c r="V17"/>
      <c r="W17"/>
      <c r="X17"/>
    </row>
    <row r="18" spans="2:24" x14ac:dyDescent="0.3">
      <c r="B18" s="10" t="str">
        <f t="shared" ca="1" si="0"/>
        <v>HCP_609554</v>
      </c>
      <c r="C18" s="11" t="s">
        <v>8</v>
      </c>
      <c r="D18" s="12">
        <v>44579</v>
      </c>
      <c r="E18" s="12">
        <v>44826</v>
      </c>
      <c r="F18" s="11">
        <v>19</v>
      </c>
      <c r="G18" s="11">
        <v>9</v>
      </c>
      <c r="H18" s="11">
        <v>26</v>
      </c>
      <c r="I18" s="11" t="s">
        <v>15</v>
      </c>
      <c r="J18" s="13" t="s">
        <v>10</v>
      </c>
      <c r="K18" s="10">
        <f>Table1[[#This Row],[Date of last Dispense]]-Table1[[#This Row],[Date of 1st Dispense]]</f>
        <v>247</v>
      </c>
      <c r="L18" s="10" t="str">
        <f t="shared" si="1"/>
        <v>6-12 Months</v>
      </c>
      <c r="M18" t="s">
        <v>41</v>
      </c>
      <c r="N18"/>
      <c r="Q18"/>
      <c r="R18"/>
      <c r="V18"/>
      <c r="W18"/>
      <c r="X18"/>
    </row>
    <row r="19" spans="2:24" x14ac:dyDescent="0.3">
      <c r="B19" s="10" t="str">
        <f t="shared" ca="1" si="0"/>
        <v>HCP_535193</v>
      </c>
      <c r="C19" s="11" t="s">
        <v>8</v>
      </c>
      <c r="D19" s="12">
        <v>44579</v>
      </c>
      <c r="E19" s="12">
        <v>44803</v>
      </c>
      <c r="F19" s="11">
        <v>67</v>
      </c>
      <c r="G19" s="11">
        <v>44</v>
      </c>
      <c r="H19" s="11">
        <v>5</v>
      </c>
      <c r="I19" s="11" t="s">
        <v>14</v>
      </c>
      <c r="J19" s="13" t="s">
        <v>10</v>
      </c>
      <c r="K19" s="10">
        <f>Table1[[#This Row],[Date of last Dispense]]-Table1[[#This Row],[Date of 1st Dispense]]</f>
        <v>224</v>
      </c>
      <c r="L19" s="10" t="str">
        <f>IF(K19&lt;=90, "0-3 Months",IF(K19&lt;=180,"3-6 Months",IF(K19&lt;=365, "6-12 Months", "12+ Months")))</f>
        <v>6-12 Months</v>
      </c>
      <c r="M19" t="s">
        <v>37</v>
      </c>
      <c r="N19"/>
      <c r="Q19"/>
      <c r="R19"/>
      <c r="V19"/>
      <c r="W19"/>
      <c r="X19"/>
    </row>
    <row r="20" spans="2:24" x14ac:dyDescent="0.3">
      <c r="B20" s="10" t="str">
        <f t="shared" ca="1" si="0"/>
        <v>HCP_171095</v>
      </c>
      <c r="C20" s="11" t="s">
        <v>17</v>
      </c>
      <c r="D20" s="12">
        <v>44570</v>
      </c>
      <c r="E20" s="12">
        <v>44763</v>
      </c>
      <c r="F20" s="11">
        <v>43</v>
      </c>
      <c r="G20" s="11">
        <v>30</v>
      </c>
      <c r="H20" s="11">
        <v>8</v>
      </c>
      <c r="I20" s="11" t="s">
        <v>13</v>
      </c>
      <c r="J20" s="13" t="s">
        <v>10</v>
      </c>
      <c r="K20" s="10">
        <f>Table1[[#This Row],[Date of last Dispense]]-Table1[[#This Row],[Date of 1st Dispense]]</f>
        <v>193</v>
      </c>
      <c r="L20" s="10" t="str">
        <f t="shared" si="1"/>
        <v>6-12 Months</v>
      </c>
      <c r="N20"/>
      <c r="Q20"/>
      <c r="R20"/>
      <c r="V20"/>
      <c r="W20"/>
      <c r="X20"/>
    </row>
    <row r="21" spans="2:24" x14ac:dyDescent="0.3">
      <c r="B21" s="10" t="str">
        <f t="shared" ca="1" si="0"/>
        <v>HCP_454072</v>
      </c>
      <c r="C21" s="11" t="s">
        <v>8</v>
      </c>
      <c r="D21" s="12">
        <v>44566</v>
      </c>
      <c r="E21" s="12">
        <v>44774</v>
      </c>
      <c r="F21" s="11">
        <v>44</v>
      </c>
      <c r="G21" s="11">
        <v>28</v>
      </c>
      <c r="H21" s="11">
        <v>20</v>
      </c>
      <c r="I21" s="11" t="s">
        <v>9</v>
      </c>
      <c r="J21" s="13" t="s">
        <v>10</v>
      </c>
      <c r="K21" s="10">
        <f>Table1[[#This Row],[Date of last Dispense]]-Table1[[#This Row],[Date of 1st Dispense]]</f>
        <v>208</v>
      </c>
      <c r="L21" s="10" t="str">
        <f t="shared" si="1"/>
        <v>6-12 Months</v>
      </c>
      <c r="M21"/>
      <c r="N21"/>
      <c r="Q21"/>
      <c r="R21"/>
      <c r="V21"/>
      <c r="W21"/>
      <c r="X21"/>
    </row>
    <row r="22" spans="2:24" x14ac:dyDescent="0.3">
      <c r="B22" s="10" t="str">
        <f t="shared" ca="1" si="0"/>
        <v>HCP_322645</v>
      </c>
      <c r="C22" s="11" t="s">
        <v>8</v>
      </c>
      <c r="D22" s="12">
        <v>44559</v>
      </c>
      <c r="E22" s="12">
        <v>44734</v>
      </c>
      <c r="F22" s="11">
        <v>41</v>
      </c>
      <c r="G22" s="11">
        <v>6</v>
      </c>
      <c r="H22" s="11">
        <v>15</v>
      </c>
      <c r="I22" s="11" t="s">
        <v>19</v>
      </c>
      <c r="J22" s="13" t="s">
        <v>16</v>
      </c>
      <c r="K22" s="10">
        <f>Table1[[#This Row],[Date of last Dispense]]-Table1[[#This Row],[Date of 1st Dispense]]</f>
        <v>175</v>
      </c>
      <c r="L22" s="10" t="str">
        <f t="shared" si="1"/>
        <v>3-6 Months</v>
      </c>
      <c r="M22"/>
      <c r="N22"/>
      <c r="Q22"/>
      <c r="R22"/>
      <c r="V22"/>
      <c r="W22"/>
      <c r="X22"/>
    </row>
    <row r="23" spans="2:24" x14ac:dyDescent="0.3">
      <c r="B23" s="10" t="str">
        <f t="shared" ca="1" si="0"/>
        <v>HCP_262152</v>
      </c>
      <c r="C23" s="11" t="s">
        <v>8</v>
      </c>
      <c r="D23" s="12">
        <v>44558</v>
      </c>
      <c r="E23" s="12">
        <v>44754</v>
      </c>
      <c r="F23" s="11">
        <v>44</v>
      </c>
      <c r="G23" s="11">
        <v>4</v>
      </c>
      <c r="H23" s="11">
        <v>16</v>
      </c>
      <c r="I23" s="11" t="s">
        <v>19</v>
      </c>
      <c r="J23" s="13" t="s">
        <v>10</v>
      </c>
      <c r="K23" s="10">
        <f>Table1[[#This Row],[Date of last Dispense]]-Table1[[#This Row],[Date of 1st Dispense]]</f>
        <v>196</v>
      </c>
      <c r="L23" s="10" t="str">
        <f t="shared" si="1"/>
        <v>6-12 Months</v>
      </c>
      <c r="M23"/>
      <c r="N23"/>
      <c r="Q23"/>
      <c r="R23"/>
      <c r="V23"/>
      <c r="W23"/>
      <c r="X23"/>
    </row>
    <row r="24" spans="2:24" x14ac:dyDescent="0.3">
      <c r="B24" s="10" t="str">
        <f t="shared" ca="1" si="0"/>
        <v>HCP_883512</v>
      </c>
      <c r="C24" s="11" t="s">
        <v>8</v>
      </c>
      <c r="D24" s="12">
        <v>44557</v>
      </c>
      <c r="E24" s="12">
        <v>44784</v>
      </c>
      <c r="F24" s="11">
        <v>8</v>
      </c>
      <c r="G24" s="11">
        <v>12</v>
      </c>
      <c r="H24" s="11">
        <v>12</v>
      </c>
      <c r="I24" s="11" t="s">
        <v>15</v>
      </c>
      <c r="J24" s="13" t="s">
        <v>10</v>
      </c>
      <c r="K24" s="10">
        <f>Table1[[#This Row],[Date of last Dispense]]-Table1[[#This Row],[Date of 1st Dispense]]</f>
        <v>227</v>
      </c>
      <c r="L24" s="10" t="str">
        <f t="shared" si="1"/>
        <v>6-12 Months</v>
      </c>
      <c r="M24"/>
      <c r="N24"/>
      <c r="Q24"/>
      <c r="R24"/>
      <c r="V24"/>
      <c r="W24"/>
      <c r="X24"/>
    </row>
    <row r="25" spans="2:24" x14ac:dyDescent="0.3">
      <c r="B25" s="10" t="str">
        <f t="shared" ca="1" si="0"/>
        <v>HCP_396101</v>
      </c>
      <c r="C25" s="11" t="s">
        <v>8</v>
      </c>
      <c r="D25" s="12">
        <v>44552</v>
      </c>
      <c r="E25" s="12">
        <v>44773</v>
      </c>
      <c r="F25" s="11">
        <v>9</v>
      </c>
      <c r="G25" s="11">
        <v>36</v>
      </c>
      <c r="H25" s="11">
        <v>2</v>
      </c>
      <c r="I25" s="11" t="s">
        <v>15</v>
      </c>
      <c r="J25" s="13" t="s">
        <v>10</v>
      </c>
      <c r="K25" s="10">
        <f>Table1[[#This Row],[Date of last Dispense]]-Table1[[#This Row],[Date of 1st Dispense]]</f>
        <v>221</v>
      </c>
      <c r="L25" s="10" t="str">
        <f t="shared" si="1"/>
        <v>6-12 Months</v>
      </c>
      <c r="M25"/>
      <c r="N25"/>
      <c r="Q25"/>
      <c r="R25"/>
      <c r="V25"/>
      <c r="W25"/>
      <c r="X25"/>
    </row>
    <row r="26" spans="2:24" x14ac:dyDescent="0.3">
      <c r="B26" s="10" t="str">
        <f t="shared" ca="1" si="0"/>
        <v>HCP_587400</v>
      </c>
      <c r="C26" s="11" t="s">
        <v>8</v>
      </c>
      <c r="D26" s="12">
        <v>44550</v>
      </c>
      <c r="E26" s="12">
        <v>44825</v>
      </c>
      <c r="F26" s="11">
        <v>51</v>
      </c>
      <c r="G26" s="11">
        <v>32</v>
      </c>
      <c r="H26" s="11">
        <v>22</v>
      </c>
      <c r="I26" s="11" t="s">
        <v>9</v>
      </c>
      <c r="J26" s="13" t="s">
        <v>10</v>
      </c>
      <c r="K26" s="10">
        <f>Table1[[#This Row],[Date of last Dispense]]-Table1[[#This Row],[Date of 1st Dispense]]</f>
        <v>275</v>
      </c>
      <c r="L26" s="10" t="str">
        <f t="shared" si="1"/>
        <v>6-12 Months</v>
      </c>
      <c r="M26"/>
      <c r="N26"/>
      <c r="Q26"/>
      <c r="R26"/>
      <c r="V26"/>
      <c r="W26"/>
      <c r="X26"/>
    </row>
    <row r="27" spans="2:24" x14ac:dyDescent="0.3">
      <c r="B27" s="10" t="str">
        <f t="shared" ca="1" si="0"/>
        <v>HCP_940935</v>
      </c>
      <c r="C27" s="11" t="s">
        <v>17</v>
      </c>
      <c r="D27" s="12">
        <v>44545</v>
      </c>
      <c r="E27" s="12">
        <v>44826</v>
      </c>
      <c r="F27" s="11">
        <v>5</v>
      </c>
      <c r="G27" s="11">
        <v>8</v>
      </c>
      <c r="H27" s="11">
        <v>27</v>
      </c>
      <c r="I27" s="11" t="s">
        <v>14</v>
      </c>
      <c r="J27" s="13" t="s">
        <v>10</v>
      </c>
      <c r="K27" s="10">
        <f>Table1[[#This Row],[Date of last Dispense]]-Table1[[#This Row],[Date of 1st Dispense]]</f>
        <v>281</v>
      </c>
      <c r="L27" s="10" t="str">
        <f t="shared" si="1"/>
        <v>6-12 Months</v>
      </c>
      <c r="M27"/>
      <c r="N27"/>
      <c r="Q27"/>
      <c r="R27"/>
      <c r="V27"/>
      <c r="W27"/>
      <c r="X27"/>
    </row>
    <row r="28" spans="2:24" x14ac:dyDescent="0.3">
      <c r="B28" s="10" t="str">
        <f t="shared" ca="1" si="0"/>
        <v>HCP_578456</v>
      </c>
      <c r="C28" s="11" t="s">
        <v>8</v>
      </c>
      <c r="D28" s="12">
        <v>44545</v>
      </c>
      <c r="E28" s="12">
        <v>44769</v>
      </c>
      <c r="F28" s="11">
        <v>31</v>
      </c>
      <c r="G28" s="11">
        <v>24</v>
      </c>
      <c r="H28" s="11">
        <v>18</v>
      </c>
      <c r="I28" s="11" t="s">
        <v>19</v>
      </c>
      <c r="J28" s="13" t="s">
        <v>10</v>
      </c>
      <c r="K28" s="10">
        <f>Table1[[#This Row],[Date of last Dispense]]-Table1[[#This Row],[Date of 1st Dispense]]</f>
        <v>224</v>
      </c>
      <c r="L28" s="10" t="str">
        <f t="shared" si="1"/>
        <v>6-12 Months</v>
      </c>
      <c r="M28"/>
      <c r="N28"/>
      <c r="Q28"/>
      <c r="R28"/>
      <c r="V28"/>
      <c r="W28"/>
      <c r="X28"/>
    </row>
    <row r="29" spans="2:24" x14ac:dyDescent="0.3">
      <c r="B29" s="10" t="str">
        <f t="shared" ca="1" si="0"/>
        <v>HCP_822189</v>
      </c>
      <c r="C29" s="11" t="s">
        <v>17</v>
      </c>
      <c r="D29" s="12">
        <v>44363</v>
      </c>
      <c r="E29" s="12">
        <v>44827</v>
      </c>
      <c r="F29" s="11">
        <v>13</v>
      </c>
      <c r="G29" s="11">
        <v>28</v>
      </c>
      <c r="H29" s="11">
        <v>3</v>
      </c>
      <c r="I29" s="11" t="s">
        <v>9</v>
      </c>
      <c r="J29" s="13" t="s">
        <v>10</v>
      </c>
      <c r="K29" s="10">
        <f>Table1[[#This Row],[Date of last Dispense]]-Table1[[#This Row],[Date of 1st Dispense]]</f>
        <v>464</v>
      </c>
      <c r="L29" s="10" t="str">
        <f t="shared" si="1"/>
        <v>12+ Months</v>
      </c>
      <c r="M29"/>
      <c r="N29"/>
      <c r="Q29"/>
      <c r="R29"/>
      <c r="V29"/>
      <c r="W29"/>
      <c r="X29"/>
    </row>
    <row r="30" spans="2:24" x14ac:dyDescent="0.3">
      <c r="B30" s="10" t="str">
        <f t="shared" ca="1" si="0"/>
        <v>HCP_905122</v>
      </c>
      <c r="C30" s="11" t="s">
        <v>8</v>
      </c>
      <c r="D30" s="12">
        <v>44543</v>
      </c>
      <c r="E30" s="12">
        <v>44827</v>
      </c>
      <c r="F30" s="11">
        <v>51</v>
      </c>
      <c r="G30" s="11">
        <v>2</v>
      </c>
      <c r="H30" s="11">
        <v>27</v>
      </c>
      <c r="I30" s="11" t="s">
        <v>9</v>
      </c>
      <c r="J30" s="13" t="s">
        <v>10</v>
      </c>
      <c r="K30" s="10">
        <f>Table1[[#This Row],[Date of last Dispense]]-Table1[[#This Row],[Date of 1st Dispense]]</f>
        <v>284</v>
      </c>
      <c r="L30" s="10" t="str">
        <f t="shared" si="1"/>
        <v>6-12 Months</v>
      </c>
      <c r="M30"/>
      <c r="N30"/>
      <c r="Q30"/>
      <c r="R30"/>
      <c r="V30"/>
      <c r="W30"/>
      <c r="X30"/>
    </row>
    <row r="31" spans="2:24" x14ac:dyDescent="0.3">
      <c r="B31" s="10" t="str">
        <f t="shared" ca="1" si="0"/>
        <v>HCP_242081</v>
      </c>
      <c r="C31" s="11" t="s">
        <v>8</v>
      </c>
      <c r="D31" s="12">
        <v>44543</v>
      </c>
      <c r="E31" s="12">
        <v>44823</v>
      </c>
      <c r="F31" s="11">
        <v>0</v>
      </c>
      <c r="G31" s="11">
        <v>25</v>
      </c>
      <c r="H31" s="11">
        <v>30</v>
      </c>
      <c r="I31" s="11" t="s">
        <v>14</v>
      </c>
      <c r="J31" s="13" t="s">
        <v>16</v>
      </c>
      <c r="K31" s="10">
        <f>Table1[[#This Row],[Date of last Dispense]]-Table1[[#This Row],[Date of 1st Dispense]]</f>
        <v>280</v>
      </c>
      <c r="L31" s="10" t="str">
        <f t="shared" si="1"/>
        <v>6-12 Months</v>
      </c>
      <c r="M31"/>
      <c r="N31"/>
      <c r="Q31"/>
      <c r="R31"/>
      <c r="V31"/>
      <c r="W31"/>
      <c r="X31"/>
    </row>
    <row r="32" spans="2:24" x14ac:dyDescent="0.3">
      <c r="B32" s="10" t="str">
        <f t="shared" ca="1" si="0"/>
        <v>HCP_947167</v>
      </c>
      <c r="C32" s="11" t="s">
        <v>8</v>
      </c>
      <c r="D32" s="12">
        <v>44543</v>
      </c>
      <c r="E32" s="12">
        <v>44762</v>
      </c>
      <c r="F32" s="11">
        <v>7</v>
      </c>
      <c r="G32" s="11">
        <v>4</v>
      </c>
      <c r="H32" s="11">
        <v>19</v>
      </c>
      <c r="I32" s="11" t="s">
        <v>13</v>
      </c>
      <c r="J32" s="13" t="s">
        <v>16</v>
      </c>
      <c r="K32" s="10">
        <f>Table1[[#This Row],[Date of last Dispense]]-Table1[[#This Row],[Date of 1st Dispense]]</f>
        <v>219</v>
      </c>
      <c r="L32" s="10" t="str">
        <f t="shared" si="1"/>
        <v>6-12 Months</v>
      </c>
      <c r="M32"/>
      <c r="N32"/>
      <c r="Q32"/>
      <c r="R32"/>
      <c r="V32"/>
      <c r="W32"/>
      <c r="X32"/>
    </row>
    <row r="33" spans="2:24" x14ac:dyDescent="0.3">
      <c r="B33" s="10" t="str">
        <f t="shared" ca="1" si="0"/>
        <v>HCP_760402</v>
      </c>
      <c r="C33" s="11" t="s">
        <v>20</v>
      </c>
      <c r="D33" s="12">
        <v>44539</v>
      </c>
      <c r="E33" s="12">
        <v>44826</v>
      </c>
      <c r="F33" s="11">
        <v>12</v>
      </c>
      <c r="G33" s="11">
        <v>21</v>
      </c>
      <c r="H33" s="11">
        <v>27</v>
      </c>
      <c r="I33" s="11" t="s">
        <v>9</v>
      </c>
      <c r="J33" s="13" t="s">
        <v>16</v>
      </c>
      <c r="K33" s="10">
        <f>Table1[[#This Row],[Date of last Dispense]]-Table1[[#This Row],[Date of 1st Dispense]]</f>
        <v>287</v>
      </c>
      <c r="L33" s="10" t="str">
        <f t="shared" si="1"/>
        <v>6-12 Months</v>
      </c>
      <c r="M33"/>
      <c r="N33"/>
      <c r="Q33"/>
      <c r="R33"/>
      <c r="V33"/>
      <c r="W33"/>
      <c r="X33"/>
    </row>
    <row r="34" spans="2:24" x14ac:dyDescent="0.3">
      <c r="B34" s="10" t="str">
        <f t="shared" ca="1" si="0"/>
        <v>HCP_132765</v>
      </c>
      <c r="C34" s="11" t="s">
        <v>8</v>
      </c>
      <c r="D34" s="12">
        <v>44539</v>
      </c>
      <c r="E34" s="12">
        <v>44797</v>
      </c>
      <c r="F34" s="11">
        <v>9</v>
      </c>
      <c r="G34" s="11">
        <v>4</v>
      </c>
      <c r="H34" s="11">
        <v>17</v>
      </c>
      <c r="I34" s="11" t="s">
        <v>19</v>
      </c>
      <c r="J34" s="13" t="s">
        <v>16</v>
      </c>
      <c r="K34" s="10">
        <f>Table1[[#This Row],[Date of last Dispense]]-Table1[[#This Row],[Date of 1st Dispense]]</f>
        <v>258</v>
      </c>
      <c r="L34" s="10" t="str">
        <f t="shared" si="1"/>
        <v>6-12 Months</v>
      </c>
      <c r="M34"/>
      <c r="N34"/>
      <c r="Q34"/>
      <c r="R34"/>
      <c r="V34"/>
      <c r="W34"/>
      <c r="X34"/>
    </row>
    <row r="35" spans="2:24" x14ac:dyDescent="0.3">
      <c r="B35" s="10" t="str">
        <f t="shared" ca="1" si="0"/>
        <v>HCP_496186</v>
      </c>
      <c r="C35" s="11" t="s">
        <v>8</v>
      </c>
      <c r="D35" s="12">
        <v>44538</v>
      </c>
      <c r="E35" s="12">
        <v>44820</v>
      </c>
      <c r="F35" s="11">
        <v>66</v>
      </c>
      <c r="G35" s="11">
        <v>34</v>
      </c>
      <c r="H35" s="11">
        <v>16</v>
      </c>
      <c r="I35" s="11" t="s">
        <v>9</v>
      </c>
      <c r="J35" s="13" t="s">
        <v>16</v>
      </c>
      <c r="K35" s="10">
        <f>Table1[[#This Row],[Date of last Dispense]]-Table1[[#This Row],[Date of 1st Dispense]]</f>
        <v>282</v>
      </c>
      <c r="L35" s="10" t="str">
        <f t="shared" si="1"/>
        <v>6-12 Months</v>
      </c>
      <c r="M35"/>
      <c r="N35"/>
      <c r="Q35"/>
      <c r="R35"/>
      <c r="V35"/>
      <c r="W35"/>
      <c r="X35"/>
    </row>
    <row r="36" spans="2:24" x14ac:dyDescent="0.3">
      <c r="B36" s="10" t="str">
        <f t="shared" ca="1" si="0"/>
        <v>HCP_675613</v>
      </c>
      <c r="C36" s="11" t="s">
        <v>18</v>
      </c>
      <c r="D36" s="12">
        <v>44537</v>
      </c>
      <c r="E36" s="12">
        <v>44792</v>
      </c>
      <c r="F36" s="11">
        <v>16</v>
      </c>
      <c r="G36" s="11">
        <v>11</v>
      </c>
      <c r="H36" s="11">
        <v>9</v>
      </c>
      <c r="I36" s="11" t="s">
        <v>9</v>
      </c>
      <c r="J36" s="13" t="s">
        <v>16</v>
      </c>
      <c r="K36" s="10">
        <f>Table1[[#This Row],[Date of last Dispense]]-Table1[[#This Row],[Date of 1st Dispense]]</f>
        <v>255</v>
      </c>
      <c r="L36" s="10" t="str">
        <f t="shared" si="1"/>
        <v>6-12 Months</v>
      </c>
      <c r="M36"/>
      <c r="N36"/>
      <c r="Q36"/>
      <c r="R36"/>
      <c r="V36"/>
      <c r="W36"/>
      <c r="X36"/>
    </row>
    <row r="37" spans="2:24" x14ac:dyDescent="0.3">
      <c r="B37" s="10" t="str">
        <f t="shared" ca="1" si="0"/>
        <v>HCP_915411</v>
      </c>
      <c r="C37" s="11" t="s">
        <v>17</v>
      </c>
      <c r="D37" s="12">
        <v>44054</v>
      </c>
      <c r="E37" s="12">
        <v>44826</v>
      </c>
      <c r="F37" s="11">
        <v>36</v>
      </c>
      <c r="G37" s="11">
        <v>9</v>
      </c>
      <c r="H37" s="11">
        <v>15</v>
      </c>
      <c r="I37" s="11" t="s">
        <v>15</v>
      </c>
      <c r="J37" s="13" t="s">
        <v>10</v>
      </c>
      <c r="K37" s="10">
        <f>Table1[[#This Row],[Date of last Dispense]]-Table1[[#This Row],[Date of 1st Dispense]]</f>
        <v>772</v>
      </c>
      <c r="L37" s="10" t="str">
        <f t="shared" si="1"/>
        <v>12+ Months</v>
      </c>
      <c r="M37"/>
      <c r="N37"/>
      <c r="Q37"/>
      <c r="R37"/>
      <c r="V37"/>
      <c r="W37"/>
      <c r="X37"/>
    </row>
    <row r="38" spans="2:24" x14ac:dyDescent="0.3">
      <c r="B38" s="10" t="str">
        <f t="shared" ca="1" si="0"/>
        <v>HCP_618962</v>
      </c>
      <c r="C38" s="11" t="s">
        <v>8</v>
      </c>
      <c r="D38" s="12">
        <v>44529</v>
      </c>
      <c r="E38" s="12">
        <v>44819</v>
      </c>
      <c r="F38" s="11">
        <v>51</v>
      </c>
      <c r="G38" s="11">
        <v>39</v>
      </c>
      <c r="H38" s="11">
        <v>15</v>
      </c>
      <c r="I38" s="11" t="s">
        <v>14</v>
      </c>
      <c r="J38" s="13" t="s">
        <v>10</v>
      </c>
      <c r="K38" s="10">
        <f>Table1[[#This Row],[Date of last Dispense]]-Table1[[#This Row],[Date of 1st Dispense]]</f>
        <v>290</v>
      </c>
      <c r="L38" s="10" t="str">
        <f t="shared" si="1"/>
        <v>6-12 Months</v>
      </c>
      <c r="M38"/>
      <c r="N38"/>
      <c r="Q38"/>
      <c r="R38"/>
      <c r="V38"/>
      <c r="W38"/>
      <c r="X38"/>
    </row>
    <row r="39" spans="2:24" x14ac:dyDescent="0.3">
      <c r="B39" s="10" t="str">
        <f t="shared" ca="1" si="0"/>
        <v>HCP_524855</v>
      </c>
      <c r="C39" s="11" t="s">
        <v>17</v>
      </c>
      <c r="D39" s="12">
        <v>44524</v>
      </c>
      <c r="E39" s="12">
        <v>44819</v>
      </c>
      <c r="F39" s="11">
        <v>53</v>
      </c>
      <c r="G39" s="11">
        <v>47</v>
      </c>
      <c r="H39" s="11">
        <v>22</v>
      </c>
      <c r="I39" s="11" t="s">
        <v>14</v>
      </c>
      <c r="J39" s="13" t="s">
        <v>10</v>
      </c>
      <c r="K39" s="10">
        <f>Table1[[#This Row],[Date of last Dispense]]-Table1[[#This Row],[Date of 1st Dispense]]</f>
        <v>295</v>
      </c>
      <c r="L39" s="10" t="str">
        <f t="shared" si="1"/>
        <v>6-12 Months</v>
      </c>
      <c r="M39"/>
      <c r="N39"/>
      <c r="Q39"/>
      <c r="R39"/>
      <c r="V39"/>
      <c r="W39"/>
      <c r="X39"/>
    </row>
    <row r="40" spans="2:24" x14ac:dyDescent="0.3">
      <c r="B40" s="10" t="str">
        <f t="shared" ca="1" si="0"/>
        <v>HCP_136873</v>
      </c>
      <c r="C40" s="11" t="s">
        <v>8</v>
      </c>
      <c r="D40" s="12">
        <v>44522</v>
      </c>
      <c r="E40" s="12">
        <v>44826</v>
      </c>
      <c r="F40" s="11">
        <v>29</v>
      </c>
      <c r="G40" s="11">
        <v>19</v>
      </c>
      <c r="H40" s="11">
        <v>0</v>
      </c>
      <c r="I40" s="11" t="s">
        <v>9</v>
      </c>
      <c r="J40" s="13" t="s">
        <v>10</v>
      </c>
      <c r="K40" s="10">
        <f>Table1[[#This Row],[Date of last Dispense]]-Table1[[#This Row],[Date of 1st Dispense]]</f>
        <v>304</v>
      </c>
      <c r="L40" s="10" t="str">
        <f t="shared" si="1"/>
        <v>6-12 Months</v>
      </c>
      <c r="M40"/>
      <c r="N40"/>
      <c r="Q40"/>
      <c r="R40"/>
      <c r="V40"/>
      <c r="W40"/>
      <c r="X40"/>
    </row>
    <row r="41" spans="2:24" x14ac:dyDescent="0.3">
      <c r="B41" s="10" t="str">
        <f t="shared" ca="1" si="0"/>
        <v>HCP_175382</v>
      </c>
      <c r="C41" s="11" t="s">
        <v>8</v>
      </c>
      <c r="D41" s="12">
        <v>44522</v>
      </c>
      <c r="E41" s="12">
        <v>44817</v>
      </c>
      <c r="F41" s="11">
        <v>37</v>
      </c>
      <c r="G41" s="11">
        <v>37</v>
      </c>
      <c r="H41" s="11">
        <v>9</v>
      </c>
      <c r="I41" s="11" t="s">
        <v>9</v>
      </c>
      <c r="J41" s="13" t="s">
        <v>10</v>
      </c>
      <c r="K41" s="10">
        <f>Table1[[#This Row],[Date of last Dispense]]-Table1[[#This Row],[Date of 1st Dispense]]</f>
        <v>295</v>
      </c>
      <c r="L41" s="10" t="str">
        <f t="shared" si="1"/>
        <v>6-12 Months</v>
      </c>
      <c r="M41"/>
      <c r="N41"/>
      <c r="Q41"/>
      <c r="R41"/>
      <c r="V41"/>
      <c r="W41"/>
      <c r="X41"/>
    </row>
    <row r="42" spans="2:24" x14ac:dyDescent="0.3">
      <c r="B42" s="10" t="str">
        <f t="shared" ca="1" si="0"/>
        <v>HCP_694420</v>
      </c>
      <c r="C42" s="11" t="s">
        <v>8</v>
      </c>
      <c r="D42" s="12">
        <v>44518</v>
      </c>
      <c r="E42" s="12">
        <v>44727</v>
      </c>
      <c r="F42" s="11">
        <v>33</v>
      </c>
      <c r="G42" s="11">
        <v>5</v>
      </c>
      <c r="H42" s="11">
        <v>3</v>
      </c>
      <c r="I42" s="11" t="s">
        <v>9</v>
      </c>
      <c r="J42" s="13" t="s">
        <v>16</v>
      </c>
      <c r="K42" s="10">
        <f>Table1[[#This Row],[Date of last Dispense]]-Table1[[#This Row],[Date of 1st Dispense]]</f>
        <v>209</v>
      </c>
      <c r="L42" s="10" t="str">
        <f t="shared" si="1"/>
        <v>6-12 Months</v>
      </c>
      <c r="M42"/>
      <c r="N42"/>
      <c r="Q42"/>
      <c r="R42"/>
      <c r="V42"/>
      <c r="W42"/>
      <c r="X42"/>
    </row>
    <row r="43" spans="2:24" x14ac:dyDescent="0.3">
      <c r="B43" s="10" t="str">
        <f t="shared" ca="1" si="0"/>
        <v>HCP_370856</v>
      </c>
      <c r="C43" s="11" t="s">
        <v>17</v>
      </c>
      <c r="D43" s="12">
        <v>44516</v>
      </c>
      <c r="E43" s="12">
        <v>44825</v>
      </c>
      <c r="F43" s="11">
        <v>38</v>
      </c>
      <c r="G43" s="11">
        <v>41</v>
      </c>
      <c r="H43" s="11">
        <v>4</v>
      </c>
      <c r="I43" s="11" t="s">
        <v>13</v>
      </c>
      <c r="J43" s="13" t="s">
        <v>10</v>
      </c>
      <c r="K43" s="10">
        <f>Table1[[#This Row],[Date of last Dispense]]-Table1[[#This Row],[Date of 1st Dispense]]</f>
        <v>309</v>
      </c>
      <c r="L43" s="10" t="str">
        <f t="shared" si="1"/>
        <v>6-12 Months</v>
      </c>
      <c r="M43"/>
      <c r="N43"/>
      <c r="Q43"/>
      <c r="R43"/>
      <c r="V43"/>
      <c r="W43"/>
      <c r="X43"/>
    </row>
    <row r="44" spans="2:24" x14ac:dyDescent="0.3">
      <c r="B44" s="10" t="str">
        <f t="shared" ca="1" si="0"/>
        <v>HCP_164841</v>
      </c>
      <c r="C44" s="11" t="s">
        <v>17</v>
      </c>
      <c r="D44" s="12">
        <v>44285</v>
      </c>
      <c r="E44" s="12">
        <v>44823</v>
      </c>
      <c r="F44" s="11">
        <v>36</v>
      </c>
      <c r="G44" s="11">
        <v>45</v>
      </c>
      <c r="H44" s="11">
        <v>14</v>
      </c>
      <c r="I44" s="11" t="s">
        <v>9</v>
      </c>
      <c r="J44" s="13" t="s">
        <v>10</v>
      </c>
      <c r="K44" s="10">
        <f>Table1[[#This Row],[Date of last Dispense]]-Table1[[#This Row],[Date of 1st Dispense]]</f>
        <v>538</v>
      </c>
      <c r="L44" s="10" t="str">
        <f t="shared" si="1"/>
        <v>12+ Months</v>
      </c>
      <c r="M44"/>
      <c r="N44"/>
      <c r="Q44"/>
      <c r="R44"/>
      <c r="V44"/>
      <c r="W44"/>
      <c r="X44"/>
    </row>
    <row r="45" spans="2:24" x14ac:dyDescent="0.3">
      <c r="B45" s="10" t="str">
        <f t="shared" ca="1" si="0"/>
        <v>HCP_551736</v>
      </c>
      <c r="C45" s="11" t="s">
        <v>8</v>
      </c>
      <c r="D45" s="12">
        <v>44515</v>
      </c>
      <c r="E45" s="12">
        <v>44824</v>
      </c>
      <c r="F45" s="11">
        <v>15</v>
      </c>
      <c r="G45" s="11">
        <v>23</v>
      </c>
      <c r="H45" s="11">
        <v>8</v>
      </c>
      <c r="I45" s="11" t="s">
        <v>19</v>
      </c>
      <c r="J45" s="13" t="s">
        <v>10</v>
      </c>
      <c r="K45" s="10">
        <f>Table1[[#This Row],[Date of last Dispense]]-Table1[[#This Row],[Date of 1st Dispense]]</f>
        <v>309</v>
      </c>
      <c r="L45" s="10" t="str">
        <f t="shared" si="1"/>
        <v>6-12 Months</v>
      </c>
      <c r="M45"/>
      <c r="N45"/>
      <c r="Q45"/>
      <c r="R45"/>
      <c r="V45"/>
      <c r="W45"/>
      <c r="X45"/>
    </row>
    <row r="46" spans="2:24" x14ac:dyDescent="0.3">
      <c r="B46" s="10" t="str">
        <f t="shared" ca="1" si="0"/>
        <v>HCP_982894</v>
      </c>
      <c r="C46" s="11" t="s">
        <v>8</v>
      </c>
      <c r="D46" s="12">
        <v>44515</v>
      </c>
      <c r="E46" s="12">
        <v>44515</v>
      </c>
      <c r="F46" s="11">
        <v>49</v>
      </c>
      <c r="G46" s="11">
        <v>25</v>
      </c>
      <c r="H46" s="11">
        <v>9</v>
      </c>
      <c r="I46" s="11" t="s">
        <v>13</v>
      </c>
      <c r="J46" s="13" t="s">
        <v>16</v>
      </c>
      <c r="K46" s="10">
        <f>Table1[[#This Row],[Date of last Dispense]]-Table1[[#This Row],[Date of 1st Dispense]]</f>
        <v>0</v>
      </c>
      <c r="L46" s="10" t="str">
        <f t="shared" si="1"/>
        <v>0-3 Months</v>
      </c>
      <c r="M46"/>
      <c r="N46"/>
      <c r="Q46"/>
      <c r="R46"/>
      <c r="V46"/>
      <c r="W46"/>
      <c r="X46"/>
    </row>
    <row r="47" spans="2:24" x14ac:dyDescent="0.3">
      <c r="B47" s="10" t="str">
        <f t="shared" ca="1" si="0"/>
        <v>HCP_856524</v>
      </c>
      <c r="C47" s="11" t="s">
        <v>8</v>
      </c>
      <c r="D47" s="12">
        <v>44514</v>
      </c>
      <c r="E47" s="12">
        <v>44691</v>
      </c>
      <c r="F47" s="11">
        <v>31</v>
      </c>
      <c r="G47" s="11">
        <v>3</v>
      </c>
      <c r="H47" s="11">
        <v>14</v>
      </c>
      <c r="I47" s="11" t="s">
        <v>14</v>
      </c>
      <c r="J47" s="13" t="s">
        <v>16</v>
      </c>
      <c r="K47" s="10">
        <f>Table1[[#This Row],[Date of last Dispense]]-Table1[[#This Row],[Date of 1st Dispense]]</f>
        <v>177</v>
      </c>
      <c r="L47" s="10" t="str">
        <f t="shared" si="1"/>
        <v>3-6 Months</v>
      </c>
      <c r="M47"/>
      <c r="N47"/>
      <c r="Q47"/>
      <c r="R47"/>
      <c r="V47"/>
      <c r="W47"/>
      <c r="X47"/>
    </row>
    <row r="48" spans="2:24" x14ac:dyDescent="0.3">
      <c r="B48" s="10" t="str">
        <f t="shared" ca="1" si="0"/>
        <v>HCP_679223</v>
      </c>
      <c r="C48" s="11" t="s">
        <v>8</v>
      </c>
      <c r="D48" s="12">
        <v>44510</v>
      </c>
      <c r="E48" s="12">
        <v>44818</v>
      </c>
      <c r="F48" s="11">
        <v>0</v>
      </c>
      <c r="G48" s="11">
        <v>28</v>
      </c>
      <c r="H48" s="11">
        <v>26</v>
      </c>
      <c r="I48" s="11" t="s">
        <v>13</v>
      </c>
      <c r="J48" s="13" t="s">
        <v>10</v>
      </c>
      <c r="K48" s="10">
        <f>Table1[[#This Row],[Date of last Dispense]]-Table1[[#This Row],[Date of 1st Dispense]]</f>
        <v>308</v>
      </c>
      <c r="L48" s="10" t="str">
        <f t="shared" si="1"/>
        <v>6-12 Months</v>
      </c>
      <c r="M48"/>
      <c r="N48"/>
      <c r="Q48"/>
      <c r="R48"/>
      <c r="V48"/>
      <c r="W48"/>
      <c r="X48"/>
    </row>
    <row r="49" spans="2:24" x14ac:dyDescent="0.3">
      <c r="B49" s="10" t="str">
        <f t="shared" ca="1" si="0"/>
        <v>HCP_423318</v>
      </c>
      <c r="C49" s="11" t="s">
        <v>8</v>
      </c>
      <c r="D49" s="12">
        <v>44509</v>
      </c>
      <c r="E49" s="12">
        <v>44818</v>
      </c>
      <c r="F49" s="11">
        <v>24</v>
      </c>
      <c r="G49" s="11">
        <v>22</v>
      </c>
      <c r="H49" s="11">
        <v>4</v>
      </c>
      <c r="I49" s="11" t="s">
        <v>14</v>
      </c>
      <c r="J49" s="13" t="s">
        <v>10</v>
      </c>
      <c r="K49" s="10">
        <f>Table1[[#This Row],[Date of last Dispense]]-Table1[[#This Row],[Date of 1st Dispense]]</f>
        <v>309</v>
      </c>
      <c r="L49" s="10" t="str">
        <f t="shared" si="1"/>
        <v>6-12 Months</v>
      </c>
      <c r="M49"/>
      <c r="N49"/>
      <c r="Q49"/>
      <c r="R49"/>
      <c r="V49"/>
      <c r="W49"/>
      <c r="X49"/>
    </row>
    <row r="50" spans="2:24" x14ac:dyDescent="0.3">
      <c r="B50" s="10" t="str">
        <f t="shared" ca="1" si="0"/>
        <v>HCP_324865</v>
      </c>
      <c r="C50" s="11" t="s">
        <v>8</v>
      </c>
      <c r="D50" s="12">
        <v>44508</v>
      </c>
      <c r="E50" s="12">
        <v>44508</v>
      </c>
      <c r="F50" s="11">
        <v>14</v>
      </c>
      <c r="G50" s="11">
        <v>40</v>
      </c>
      <c r="H50" s="11">
        <v>6</v>
      </c>
      <c r="I50" s="11" t="s">
        <v>19</v>
      </c>
      <c r="J50" s="13" t="s">
        <v>16</v>
      </c>
      <c r="K50" s="10">
        <f>Table1[[#This Row],[Date of last Dispense]]-Table1[[#This Row],[Date of 1st Dispense]]</f>
        <v>0</v>
      </c>
      <c r="L50" s="10" t="str">
        <f t="shared" si="1"/>
        <v>0-3 Months</v>
      </c>
      <c r="M50"/>
      <c r="N50"/>
      <c r="Q50"/>
      <c r="R50"/>
      <c r="V50"/>
      <c r="W50"/>
      <c r="X50"/>
    </row>
    <row r="51" spans="2:24" x14ac:dyDescent="0.3">
      <c r="B51" s="10" t="str">
        <f t="shared" ca="1" si="0"/>
        <v>HCP_144685</v>
      </c>
      <c r="C51" s="11" t="s">
        <v>21</v>
      </c>
      <c r="D51" s="12">
        <v>44503</v>
      </c>
      <c r="E51" s="12">
        <v>44669</v>
      </c>
      <c r="F51" s="11">
        <v>59</v>
      </c>
      <c r="G51" s="11">
        <v>23</v>
      </c>
      <c r="H51" s="11">
        <v>3</v>
      </c>
      <c r="I51" s="11" t="s">
        <v>14</v>
      </c>
      <c r="J51" s="13" t="s">
        <v>16</v>
      </c>
      <c r="K51" s="10">
        <f>Table1[[#This Row],[Date of last Dispense]]-Table1[[#This Row],[Date of 1st Dispense]]</f>
        <v>166</v>
      </c>
      <c r="L51" s="10" t="str">
        <f t="shared" si="1"/>
        <v>3-6 Months</v>
      </c>
      <c r="M51"/>
      <c r="N51"/>
      <c r="Q51"/>
      <c r="R51"/>
      <c r="V51"/>
      <c r="W51"/>
      <c r="X51"/>
    </row>
    <row r="52" spans="2:24" x14ac:dyDescent="0.3">
      <c r="B52" s="10" t="str">
        <f t="shared" ca="1" si="0"/>
        <v>HCP_591337</v>
      </c>
      <c r="C52" s="11" t="s">
        <v>8</v>
      </c>
      <c r="D52" s="12">
        <v>44503</v>
      </c>
      <c r="E52" s="12">
        <v>44503</v>
      </c>
      <c r="F52" s="11">
        <v>64</v>
      </c>
      <c r="G52" s="11">
        <v>6</v>
      </c>
      <c r="H52" s="11">
        <v>29</v>
      </c>
      <c r="I52" s="11" t="s">
        <v>15</v>
      </c>
      <c r="J52" s="13" t="s">
        <v>16</v>
      </c>
      <c r="K52" s="10">
        <f>Table1[[#This Row],[Date of last Dispense]]-Table1[[#This Row],[Date of 1st Dispense]]</f>
        <v>0</v>
      </c>
      <c r="L52" s="10" t="str">
        <f t="shared" si="1"/>
        <v>0-3 Months</v>
      </c>
      <c r="M52"/>
      <c r="N52"/>
      <c r="Q52"/>
      <c r="R52"/>
      <c r="V52"/>
      <c r="W52"/>
      <c r="X52"/>
    </row>
    <row r="53" spans="2:24" x14ac:dyDescent="0.3">
      <c r="B53" s="10" t="str">
        <f t="shared" ca="1" si="0"/>
        <v>HCP_237530</v>
      </c>
      <c r="C53" s="11" t="s">
        <v>21</v>
      </c>
      <c r="D53" s="12">
        <v>44503</v>
      </c>
      <c r="E53" s="12">
        <v>44622</v>
      </c>
      <c r="F53" s="11">
        <v>41</v>
      </c>
      <c r="G53" s="11">
        <v>28</v>
      </c>
      <c r="H53" s="11">
        <v>9</v>
      </c>
      <c r="I53" s="11" t="s">
        <v>14</v>
      </c>
      <c r="J53" s="13" t="s">
        <v>16</v>
      </c>
      <c r="K53" s="10">
        <f>Table1[[#This Row],[Date of last Dispense]]-Table1[[#This Row],[Date of 1st Dispense]]</f>
        <v>119</v>
      </c>
      <c r="L53" s="10" t="str">
        <f t="shared" si="1"/>
        <v>3-6 Months</v>
      </c>
      <c r="M53"/>
      <c r="N53"/>
      <c r="Q53"/>
      <c r="R53"/>
      <c r="V53"/>
      <c r="W53"/>
      <c r="X53"/>
    </row>
    <row r="54" spans="2:24" x14ac:dyDescent="0.3">
      <c r="B54" s="10" t="str">
        <f t="shared" ca="1" si="0"/>
        <v>HCP_320395</v>
      </c>
      <c r="C54" s="11" t="s">
        <v>8</v>
      </c>
      <c r="D54" s="12">
        <v>44502</v>
      </c>
      <c r="E54" s="12">
        <v>44825</v>
      </c>
      <c r="F54" s="11">
        <v>43</v>
      </c>
      <c r="G54" s="11">
        <v>26</v>
      </c>
      <c r="H54" s="11">
        <v>18</v>
      </c>
      <c r="I54" s="11" t="s">
        <v>15</v>
      </c>
      <c r="J54" s="13" t="s">
        <v>10</v>
      </c>
      <c r="K54" s="10">
        <f>Table1[[#This Row],[Date of last Dispense]]-Table1[[#This Row],[Date of 1st Dispense]]</f>
        <v>323</v>
      </c>
      <c r="L54" s="10" t="str">
        <f t="shared" si="1"/>
        <v>6-12 Months</v>
      </c>
      <c r="M54"/>
      <c r="N54"/>
      <c r="Q54"/>
      <c r="R54"/>
      <c r="V54"/>
      <c r="W54"/>
      <c r="X54"/>
    </row>
    <row r="55" spans="2:24" x14ac:dyDescent="0.3">
      <c r="B55" s="10" t="str">
        <f t="shared" ca="1" si="0"/>
        <v>HCP_728508</v>
      </c>
      <c r="C55" s="11" t="s">
        <v>8</v>
      </c>
      <c r="D55" s="12">
        <v>44502</v>
      </c>
      <c r="E55" s="12">
        <v>44783</v>
      </c>
      <c r="F55" s="11">
        <v>50</v>
      </c>
      <c r="G55" s="11">
        <v>20</v>
      </c>
      <c r="H55" s="11">
        <v>21</v>
      </c>
      <c r="I55" s="11" t="s">
        <v>14</v>
      </c>
      <c r="J55" s="13" t="s">
        <v>10</v>
      </c>
      <c r="K55" s="10">
        <f>Table1[[#This Row],[Date of last Dispense]]-Table1[[#This Row],[Date of 1st Dispense]]</f>
        <v>281</v>
      </c>
      <c r="L55" s="10" t="str">
        <f t="shared" si="1"/>
        <v>6-12 Months</v>
      </c>
      <c r="M55"/>
      <c r="N55"/>
      <c r="Q55"/>
      <c r="R55"/>
      <c r="V55"/>
      <c r="W55"/>
      <c r="X55"/>
    </row>
    <row r="56" spans="2:24" x14ac:dyDescent="0.3">
      <c r="B56" s="10" t="str">
        <f t="shared" ca="1" si="0"/>
        <v>HCP_693620</v>
      </c>
      <c r="C56" s="11" t="s">
        <v>8</v>
      </c>
      <c r="D56" s="12">
        <v>44496</v>
      </c>
      <c r="E56" s="12">
        <v>44678</v>
      </c>
      <c r="F56" s="11">
        <v>56</v>
      </c>
      <c r="G56" s="11">
        <v>1</v>
      </c>
      <c r="H56" s="11">
        <v>10</v>
      </c>
      <c r="I56" s="11" t="s">
        <v>15</v>
      </c>
      <c r="J56" s="13" t="s">
        <v>16</v>
      </c>
      <c r="K56" s="10">
        <f>Table1[[#This Row],[Date of last Dispense]]-Table1[[#This Row],[Date of 1st Dispense]]</f>
        <v>182</v>
      </c>
      <c r="L56" s="10" t="str">
        <f t="shared" si="1"/>
        <v>6-12 Months</v>
      </c>
      <c r="M56"/>
      <c r="N56"/>
      <c r="Q56"/>
      <c r="R56"/>
      <c r="V56"/>
      <c r="W56"/>
      <c r="X56"/>
    </row>
    <row r="57" spans="2:24" x14ac:dyDescent="0.3">
      <c r="B57" s="10" t="str">
        <f t="shared" ca="1" si="0"/>
        <v>HCP_216513</v>
      </c>
      <c r="C57" s="11" t="s">
        <v>8</v>
      </c>
      <c r="D57" s="12">
        <v>44496</v>
      </c>
      <c r="E57" s="12">
        <v>44819</v>
      </c>
      <c r="F57" s="11">
        <v>56</v>
      </c>
      <c r="G57" s="11">
        <v>49</v>
      </c>
      <c r="H57" s="11">
        <v>28</v>
      </c>
      <c r="I57" s="11" t="s">
        <v>14</v>
      </c>
      <c r="J57" s="13" t="s">
        <v>10</v>
      </c>
      <c r="K57" s="10">
        <f>Table1[[#This Row],[Date of last Dispense]]-Table1[[#This Row],[Date of 1st Dispense]]</f>
        <v>323</v>
      </c>
      <c r="L57" s="10" t="str">
        <f t="shared" si="1"/>
        <v>6-12 Months</v>
      </c>
      <c r="M57"/>
      <c r="N57"/>
      <c r="Q57"/>
      <c r="R57"/>
      <c r="V57"/>
      <c r="W57"/>
      <c r="X57"/>
    </row>
    <row r="58" spans="2:24" x14ac:dyDescent="0.3">
      <c r="B58" s="10" t="str">
        <f t="shared" ca="1" si="0"/>
        <v>HCP_951652</v>
      </c>
      <c r="C58" s="11" t="s">
        <v>8</v>
      </c>
      <c r="D58" s="12">
        <v>44495</v>
      </c>
      <c r="E58" s="12">
        <v>44617</v>
      </c>
      <c r="F58" s="11">
        <v>70</v>
      </c>
      <c r="G58" s="11">
        <v>0</v>
      </c>
      <c r="H58" s="11">
        <v>27</v>
      </c>
      <c r="I58" s="11" t="s">
        <v>19</v>
      </c>
      <c r="J58" s="13" t="s">
        <v>16</v>
      </c>
      <c r="K58" s="10">
        <f>Table1[[#This Row],[Date of last Dispense]]-Table1[[#This Row],[Date of 1st Dispense]]</f>
        <v>122</v>
      </c>
      <c r="L58" s="10" t="str">
        <f t="shared" si="1"/>
        <v>3-6 Months</v>
      </c>
      <c r="M58"/>
      <c r="N58"/>
      <c r="Q58"/>
      <c r="R58"/>
      <c r="V58"/>
      <c r="W58"/>
      <c r="X58"/>
    </row>
    <row r="59" spans="2:24" x14ac:dyDescent="0.3">
      <c r="B59" s="10" t="str">
        <f t="shared" ca="1" si="0"/>
        <v>HCP_200586</v>
      </c>
      <c r="C59" s="11" t="s">
        <v>12</v>
      </c>
      <c r="D59" s="12">
        <v>44494</v>
      </c>
      <c r="E59" s="12">
        <v>44816</v>
      </c>
      <c r="F59" s="11">
        <v>3</v>
      </c>
      <c r="G59" s="11">
        <v>15</v>
      </c>
      <c r="H59" s="11">
        <v>5</v>
      </c>
      <c r="I59" s="11" t="s">
        <v>13</v>
      </c>
      <c r="J59" s="13" t="s">
        <v>10</v>
      </c>
      <c r="K59" s="10">
        <f>Table1[[#This Row],[Date of last Dispense]]-Table1[[#This Row],[Date of 1st Dispense]]</f>
        <v>322</v>
      </c>
      <c r="L59" s="10" t="str">
        <f t="shared" si="1"/>
        <v>6-12 Months</v>
      </c>
      <c r="M59"/>
      <c r="N59"/>
      <c r="Q59"/>
      <c r="R59"/>
      <c r="V59"/>
      <c r="W59"/>
      <c r="X59"/>
    </row>
    <row r="60" spans="2:24" x14ac:dyDescent="0.3">
      <c r="B60" s="10" t="str">
        <f t="shared" ca="1" si="0"/>
        <v>HCP_468528</v>
      </c>
      <c r="C60" s="11" t="s">
        <v>8</v>
      </c>
      <c r="D60" s="12">
        <v>44493</v>
      </c>
      <c r="E60" s="12">
        <v>44805</v>
      </c>
      <c r="F60" s="11">
        <v>53</v>
      </c>
      <c r="G60" s="11">
        <v>22</v>
      </c>
      <c r="H60" s="11">
        <v>25</v>
      </c>
      <c r="I60" s="11" t="s">
        <v>14</v>
      </c>
      <c r="J60" s="13" t="s">
        <v>10</v>
      </c>
      <c r="K60" s="10">
        <f>Table1[[#This Row],[Date of last Dispense]]-Table1[[#This Row],[Date of 1st Dispense]]</f>
        <v>312</v>
      </c>
      <c r="L60" s="10" t="str">
        <f t="shared" si="1"/>
        <v>6-12 Months</v>
      </c>
      <c r="M60"/>
      <c r="N60"/>
      <c r="Q60"/>
      <c r="R60"/>
      <c r="V60"/>
      <c r="W60"/>
      <c r="X60"/>
    </row>
    <row r="61" spans="2:24" x14ac:dyDescent="0.3">
      <c r="B61" s="10" t="str">
        <f t="shared" ca="1" si="0"/>
        <v>HCP_533743</v>
      </c>
      <c r="C61" s="11" t="s">
        <v>8</v>
      </c>
      <c r="D61" s="12">
        <v>44493</v>
      </c>
      <c r="E61" s="12">
        <v>44805</v>
      </c>
      <c r="F61" s="11">
        <v>20</v>
      </c>
      <c r="G61" s="11">
        <v>8</v>
      </c>
      <c r="H61" s="11">
        <v>12</v>
      </c>
      <c r="I61" s="11" t="s">
        <v>14</v>
      </c>
      <c r="J61" s="13" t="s">
        <v>10</v>
      </c>
      <c r="K61" s="10">
        <f>Table1[[#This Row],[Date of last Dispense]]-Table1[[#This Row],[Date of 1st Dispense]]</f>
        <v>312</v>
      </c>
      <c r="L61" s="10" t="str">
        <f t="shared" si="1"/>
        <v>6-12 Months</v>
      </c>
      <c r="M61"/>
      <c r="N61"/>
      <c r="Q61"/>
      <c r="R61"/>
      <c r="V61"/>
      <c r="W61"/>
      <c r="X61"/>
    </row>
    <row r="62" spans="2:24" x14ac:dyDescent="0.3">
      <c r="B62" s="10" t="str">
        <f t="shared" ca="1" si="0"/>
        <v>HCP_332829</v>
      </c>
      <c r="C62" s="11" t="s">
        <v>8</v>
      </c>
      <c r="D62" s="12">
        <v>44487</v>
      </c>
      <c r="E62" s="12">
        <v>44804</v>
      </c>
      <c r="F62" s="11">
        <v>35</v>
      </c>
      <c r="G62" s="11">
        <v>16</v>
      </c>
      <c r="H62" s="11">
        <v>14</v>
      </c>
      <c r="I62" s="11" t="s">
        <v>19</v>
      </c>
      <c r="J62" s="13" t="s">
        <v>10</v>
      </c>
      <c r="K62" s="10">
        <f>Table1[[#This Row],[Date of last Dispense]]-Table1[[#This Row],[Date of 1st Dispense]]</f>
        <v>317</v>
      </c>
      <c r="L62" s="10" t="str">
        <f t="shared" si="1"/>
        <v>6-12 Months</v>
      </c>
      <c r="M62"/>
      <c r="N62"/>
      <c r="Q62"/>
      <c r="R62"/>
      <c r="V62"/>
      <c r="W62"/>
      <c r="X62"/>
    </row>
    <row r="63" spans="2:24" x14ac:dyDescent="0.3">
      <c r="B63" s="10" t="str">
        <f t="shared" ca="1" si="0"/>
        <v>HCP_696640</v>
      </c>
      <c r="C63" s="11" t="s">
        <v>8</v>
      </c>
      <c r="D63" s="12">
        <v>44482</v>
      </c>
      <c r="E63" s="12">
        <v>44652</v>
      </c>
      <c r="F63" s="11">
        <v>40</v>
      </c>
      <c r="G63" s="11">
        <v>23</v>
      </c>
      <c r="H63" s="11">
        <v>19</v>
      </c>
      <c r="I63" s="11" t="s">
        <v>15</v>
      </c>
      <c r="J63" s="13" t="s">
        <v>16</v>
      </c>
      <c r="K63" s="10">
        <f>Table1[[#This Row],[Date of last Dispense]]-Table1[[#This Row],[Date of 1st Dispense]]</f>
        <v>170</v>
      </c>
      <c r="L63" s="10" t="str">
        <f t="shared" si="1"/>
        <v>3-6 Months</v>
      </c>
      <c r="M63"/>
      <c r="N63"/>
      <c r="Q63"/>
      <c r="R63"/>
      <c r="V63"/>
      <c r="W63"/>
      <c r="X63"/>
    </row>
    <row r="64" spans="2:24" x14ac:dyDescent="0.3">
      <c r="B64" s="10" t="str">
        <f t="shared" ca="1" si="0"/>
        <v>HCP_937662</v>
      </c>
      <c r="C64" s="11" t="s">
        <v>8</v>
      </c>
      <c r="D64" s="12">
        <v>44481</v>
      </c>
      <c r="E64" s="12">
        <v>44823</v>
      </c>
      <c r="F64" s="11">
        <v>10</v>
      </c>
      <c r="G64" s="11">
        <v>44</v>
      </c>
      <c r="H64" s="11">
        <v>3</v>
      </c>
      <c r="I64" s="11" t="s">
        <v>14</v>
      </c>
      <c r="J64" s="13" t="s">
        <v>10</v>
      </c>
      <c r="K64" s="10">
        <f>Table1[[#This Row],[Date of last Dispense]]-Table1[[#This Row],[Date of 1st Dispense]]</f>
        <v>342</v>
      </c>
      <c r="L64" s="10" t="str">
        <f t="shared" si="1"/>
        <v>6-12 Months</v>
      </c>
      <c r="M64"/>
      <c r="N64"/>
      <c r="Q64"/>
      <c r="R64"/>
      <c r="V64"/>
      <c r="W64"/>
      <c r="X64"/>
    </row>
    <row r="65" spans="2:24" x14ac:dyDescent="0.3">
      <c r="B65" s="10" t="str">
        <f t="shared" ca="1" si="0"/>
        <v>HCP_165692</v>
      </c>
      <c r="C65" s="11" t="s">
        <v>8</v>
      </c>
      <c r="D65" s="12">
        <v>44481</v>
      </c>
      <c r="E65" s="12">
        <v>44824</v>
      </c>
      <c r="F65" s="11">
        <v>49</v>
      </c>
      <c r="G65" s="11">
        <v>17</v>
      </c>
      <c r="H65" s="11">
        <v>7</v>
      </c>
      <c r="I65" s="11" t="s">
        <v>14</v>
      </c>
      <c r="J65" s="13" t="s">
        <v>10</v>
      </c>
      <c r="K65" s="10">
        <f>Table1[[#This Row],[Date of last Dispense]]-Table1[[#This Row],[Date of 1st Dispense]]</f>
        <v>343</v>
      </c>
      <c r="L65" s="10" t="str">
        <f t="shared" si="1"/>
        <v>6-12 Months</v>
      </c>
      <c r="M65"/>
      <c r="N65"/>
      <c r="Q65"/>
      <c r="R65"/>
      <c r="V65"/>
      <c r="W65"/>
      <c r="X65"/>
    </row>
    <row r="66" spans="2:24" x14ac:dyDescent="0.3">
      <c r="B66" s="10" t="str">
        <f t="shared" ca="1" si="0"/>
        <v>HCP_625993</v>
      </c>
      <c r="C66" s="11" t="s">
        <v>8</v>
      </c>
      <c r="D66" s="12">
        <v>44481</v>
      </c>
      <c r="E66" s="12">
        <v>44748</v>
      </c>
      <c r="F66" s="11">
        <v>40</v>
      </c>
      <c r="G66" s="11">
        <v>24</v>
      </c>
      <c r="H66" s="11">
        <v>17</v>
      </c>
      <c r="I66" s="11" t="s">
        <v>14</v>
      </c>
      <c r="J66" s="13" t="s">
        <v>10</v>
      </c>
      <c r="K66" s="10">
        <f>Table1[[#This Row],[Date of last Dispense]]-Table1[[#This Row],[Date of 1st Dispense]]</f>
        <v>267</v>
      </c>
      <c r="L66" s="10" t="str">
        <f t="shared" si="1"/>
        <v>6-12 Months</v>
      </c>
      <c r="M66"/>
      <c r="N66"/>
      <c r="Q66"/>
      <c r="R66"/>
      <c r="V66"/>
      <c r="W66"/>
      <c r="X66"/>
    </row>
    <row r="67" spans="2:24" x14ac:dyDescent="0.3">
      <c r="B67" s="10" t="str">
        <f t="shared" ref="B67:B130" ca="1" si="2">"HCP_"&amp;TEXT(RANDBETWEEN(100000,999999),"000000")</f>
        <v>HCP_165960</v>
      </c>
      <c r="C67" s="11" t="s">
        <v>8</v>
      </c>
      <c r="D67" s="12">
        <v>44103</v>
      </c>
      <c r="E67" s="12">
        <v>44824</v>
      </c>
      <c r="F67" s="11">
        <v>22</v>
      </c>
      <c r="G67" s="11">
        <v>37</v>
      </c>
      <c r="H67" s="11">
        <v>26</v>
      </c>
      <c r="I67" s="11" t="s">
        <v>9</v>
      </c>
      <c r="J67" s="13" t="s">
        <v>10</v>
      </c>
      <c r="K67" s="10">
        <f>Table1[[#This Row],[Date of last Dispense]]-Table1[[#This Row],[Date of 1st Dispense]]</f>
        <v>721</v>
      </c>
      <c r="L67" s="10" t="str">
        <f t="shared" ref="L67:L130" si="3">IF(K67&lt;=90, "0-3 Months",IF(K67&lt;=180,"3-6 Months",IF(K67&lt;=365, "6-12 Months", "12+ Months")))</f>
        <v>12+ Months</v>
      </c>
      <c r="M67"/>
      <c r="N67"/>
      <c r="Q67"/>
      <c r="R67"/>
      <c r="V67"/>
      <c r="W67"/>
      <c r="X67"/>
    </row>
    <row r="68" spans="2:24" x14ac:dyDescent="0.3">
      <c r="B68" s="10" t="str">
        <f t="shared" ca="1" si="2"/>
        <v>HCP_806200</v>
      </c>
      <c r="C68" s="11" t="s">
        <v>8</v>
      </c>
      <c r="D68" s="12">
        <v>44475</v>
      </c>
      <c r="E68" s="12">
        <v>44817</v>
      </c>
      <c r="F68" s="11">
        <v>7</v>
      </c>
      <c r="G68" s="11">
        <v>1</v>
      </c>
      <c r="H68" s="11">
        <v>30</v>
      </c>
      <c r="I68" s="11" t="s">
        <v>13</v>
      </c>
      <c r="J68" s="13" t="s">
        <v>10</v>
      </c>
      <c r="K68" s="10">
        <f>Table1[[#This Row],[Date of last Dispense]]-Table1[[#This Row],[Date of 1st Dispense]]</f>
        <v>342</v>
      </c>
      <c r="L68" s="10" t="str">
        <f t="shared" si="3"/>
        <v>6-12 Months</v>
      </c>
      <c r="M68"/>
      <c r="N68"/>
      <c r="Q68"/>
      <c r="R68"/>
      <c r="V68"/>
      <c r="W68"/>
      <c r="X68"/>
    </row>
    <row r="69" spans="2:24" x14ac:dyDescent="0.3">
      <c r="B69" s="10" t="str">
        <f t="shared" ca="1" si="2"/>
        <v>HCP_664801</v>
      </c>
      <c r="C69" s="11" t="s">
        <v>8</v>
      </c>
      <c r="D69" s="12">
        <v>44473</v>
      </c>
      <c r="E69" s="12">
        <v>44825</v>
      </c>
      <c r="F69" s="11">
        <v>48</v>
      </c>
      <c r="G69" s="11">
        <v>0</v>
      </c>
      <c r="H69" s="11">
        <v>11</v>
      </c>
      <c r="I69" s="11" t="s">
        <v>13</v>
      </c>
      <c r="J69" s="13" t="s">
        <v>10</v>
      </c>
      <c r="K69" s="10">
        <f>Table1[[#This Row],[Date of last Dispense]]-Table1[[#This Row],[Date of 1st Dispense]]</f>
        <v>352</v>
      </c>
      <c r="L69" s="10" t="str">
        <f t="shared" si="3"/>
        <v>6-12 Months</v>
      </c>
      <c r="M69"/>
      <c r="N69"/>
      <c r="Q69"/>
      <c r="R69"/>
      <c r="V69"/>
      <c r="W69"/>
      <c r="X69"/>
    </row>
    <row r="70" spans="2:24" x14ac:dyDescent="0.3">
      <c r="B70" s="10" t="str">
        <f t="shared" ca="1" si="2"/>
        <v>HCP_649795</v>
      </c>
      <c r="C70" s="11" t="s">
        <v>22</v>
      </c>
      <c r="D70" s="12">
        <v>44473</v>
      </c>
      <c r="E70" s="12">
        <v>44669</v>
      </c>
      <c r="F70" s="11">
        <v>12</v>
      </c>
      <c r="G70" s="11">
        <v>34</v>
      </c>
      <c r="H70" s="11">
        <v>14</v>
      </c>
      <c r="I70" s="11" t="s">
        <v>19</v>
      </c>
      <c r="J70" s="13" t="s">
        <v>16</v>
      </c>
      <c r="K70" s="10">
        <f>Table1[[#This Row],[Date of last Dispense]]-Table1[[#This Row],[Date of 1st Dispense]]</f>
        <v>196</v>
      </c>
      <c r="L70" s="10" t="str">
        <f t="shared" si="3"/>
        <v>6-12 Months</v>
      </c>
      <c r="M70"/>
      <c r="N70"/>
      <c r="Q70"/>
      <c r="R70"/>
      <c r="V70"/>
      <c r="W70"/>
      <c r="X70"/>
    </row>
    <row r="71" spans="2:24" x14ac:dyDescent="0.3">
      <c r="B71" s="10" t="str">
        <f t="shared" ca="1" si="2"/>
        <v>HCP_227627</v>
      </c>
      <c r="C71" s="11" t="s">
        <v>17</v>
      </c>
      <c r="D71" s="12">
        <v>44469</v>
      </c>
      <c r="E71" s="12">
        <v>44819</v>
      </c>
      <c r="F71" s="11">
        <v>53</v>
      </c>
      <c r="G71" s="11">
        <v>26</v>
      </c>
      <c r="H71" s="11">
        <v>2</v>
      </c>
      <c r="I71" s="11" t="s">
        <v>14</v>
      </c>
      <c r="J71" s="13" t="s">
        <v>10</v>
      </c>
      <c r="K71" s="10">
        <f>Table1[[#This Row],[Date of last Dispense]]-Table1[[#This Row],[Date of 1st Dispense]]</f>
        <v>350</v>
      </c>
      <c r="L71" s="10" t="str">
        <f t="shared" si="3"/>
        <v>6-12 Months</v>
      </c>
      <c r="M71"/>
      <c r="N71"/>
      <c r="Q71"/>
      <c r="R71"/>
      <c r="V71"/>
      <c r="W71"/>
      <c r="X71"/>
    </row>
    <row r="72" spans="2:24" x14ac:dyDescent="0.3">
      <c r="B72" s="10" t="str">
        <f t="shared" ca="1" si="2"/>
        <v>HCP_139608</v>
      </c>
      <c r="C72" s="11" t="s">
        <v>8</v>
      </c>
      <c r="D72" s="12">
        <v>44469</v>
      </c>
      <c r="E72" s="12">
        <v>44819</v>
      </c>
      <c r="F72" s="11">
        <v>21</v>
      </c>
      <c r="G72" s="11">
        <v>26</v>
      </c>
      <c r="H72" s="11">
        <v>10</v>
      </c>
      <c r="I72" s="11" t="s">
        <v>15</v>
      </c>
      <c r="J72" s="13" t="s">
        <v>10</v>
      </c>
      <c r="K72" s="10">
        <f>Table1[[#This Row],[Date of last Dispense]]-Table1[[#This Row],[Date of 1st Dispense]]</f>
        <v>350</v>
      </c>
      <c r="L72" s="10" t="str">
        <f t="shared" si="3"/>
        <v>6-12 Months</v>
      </c>
      <c r="M72"/>
      <c r="N72"/>
      <c r="Q72"/>
      <c r="R72"/>
      <c r="V72"/>
      <c r="W72"/>
      <c r="X72"/>
    </row>
    <row r="73" spans="2:24" x14ac:dyDescent="0.3">
      <c r="B73" s="10" t="str">
        <f t="shared" ca="1" si="2"/>
        <v>HCP_840245</v>
      </c>
      <c r="C73" s="11" t="s">
        <v>8</v>
      </c>
      <c r="D73" s="12">
        <v>44469</v>
      </c>
      <c r="E73" s="12">
        <v>44817</v>
      </c>
      <c r="F73" s="11">
        <v>17</v>
      </c>
      <c r="G73" s="11">
        <v>25</v>
      </c>
      <c r="H73" s="11">
        <v>20</v>
      </c>
      <c r="I73" s="11" t="s">
        <v>14</v>
      </c>
      <c r="J73" s="13" t="s">
        <v>10</v>
      </c>
      <c r="K73" s="10">
        <f>Table1[[#This Row],[Date of last Dispense]]-Table1[[#This Row],[Date of 1st Dispense]]</f>
        <v>348</v>
      </c>
      <c r="L73" s="10" t="str">
        <f t="shared" si="3"/>
        <v>6-12 Months</v>
      </c>
      <c r="M73"/>
      <c r="N73"/>
      <c r="Q73"/>
      <c r="R73"/>
      <c r="V73"/>
      <c r="W73"/>
      <c r="X73"/>
    </row>
    <row r="74" spans="2:24" x14ac:dyDescent="0.3">
      <c r="B74" s="10" t="str">
        <f t="shared" ca="1" si="2"/>
        <v>HCP_522137</v>
      </c>
      <c r="C74" s="11" t="s">
        <v>8</v>
      </c>
      <c r="D74" s="12">
        <v>44466</v>
      </c>
      <c r="E74" s="12">
        <v>44823</v>
      </c>
      <c r="F74" s="11">
        <v>30</v>
      </c>
      <c r="G74" s="11">
        <v>39</v>
      </c>
      <c r="H74" s="11">
        <v>13</v>
      </c>
      <c r="I74" s="11" t="s">
        <v>19</v>
      </c>
      <c r="J74" s="13" t="s">
        <v>10</v>
      </c>
      <c r="K74" s="10">
        <f>Table1[[#This Row],[Date of last Dispense]]-Table1[[#This Row],[Date of 1st Dispense]]</f>
        <v>357</v>
      </c>
      <c r="L74" s="10" t="str">
        <f t="shared" si="3"/>
        <v>6-12 Months</v>
      </c>
      <c r="M74"/>
      <c r="N74"/>
      <c r="Q74"/>
      <c r="R74"/>
      <c r="V74"/>
      <c r="W74"/>
      <c r="X74"/>
    </row>
    <row r="75" spans="2:24" x14ac:dyDescent="0.3">
      <c r="B75" s="10" t="str">
        <f t="shared" ca="1" si="2"/>
        <v>HCP_946288</v>
      </c>
      <c r="C75" s="11" t="s">
        <v>8</v>
      </c>
      <c r="D75" s="12">
        <v>44102</v>
      </c>
      <c r="E75" s="12">
        <v>44826</v>
      </c>
      <c r="F75" s="11">
        <v>57</v>
      </c>
      <c r="G75" s="11">
        <v>45</v>
      </c>
      <c r="H75" s="11">
        <v>9</v>
      </c>
      <c r="I75" s="11" t="s">
        <v>13</v>
      </c>
      <c r="J75" s="13" t="s">
        <v>10</v>
      </c>
      <c r="K75" s="10">
        <f>Table1[[#This Row],[Date of last Dispense]]-Table1[[#This Row],[Date of 1st Dispense]]</f>
        <v>724</v>
      </c>
      <c r="L75" s="10" t="str">
        <f t="shared" si="3"/>
        <v>12+ Months</v>
      </c>
      <c r="M75"/>
      <c r="N75"/>
      <c r="Q75"/>
      <c r="R75"/>
      <c r="V75"/>
      <c r="W75"/>
      <c r="X75"/>
    </row>
    <row r="76" spans="2:24" x14ac:dyDescent="0.3">
      <c r="B76" s="10" t="str">
        <f t="shared" ca="1" si="2"/>
        <v>HCP_993348</v>
      </c>
      <c r="C76" s="11" t="s">
        <v>8</v>
      </c>
      <c r="D76" s="12">
        <v>44461</v>
      </c>
      <c r="E76" s="12">
        <v>44719</v>
      </c>
      <c r="F76" s="11">
        <v>31</v>
      </c>
      <c r="G76" s="11">
        <v>15</v>
      </c>
      <c r="H76" s="11">
        <v>23</v>
      </c>
      <c r="I76" s="11" t="s">
        <v>9</v>
      </c>
      <c r="J76" s="13" t="s">
        <v>16</v>
      </c>
      <c r="K76" s="10">
        <f>Table1[[#This Row],[Date of last Dispense]]-Table1[[#This Row],[Date of 1st Dispense]]</f>
        <v>258</v>
      </c>
      <c r="L76" s="10" t="str">
        <f t="shared" si="3"/>
        <v>6-12 Months</v>
      </c>
      <c r="M76"/>
      <c r="N76"/>
      <c r="Q76"/>
      <c r="R76"/>
      <c r="V76"/>
      <c r="W76"/>
      <c r="X76"/>
    </row>
    <row r="77" spans="2:24" x14ac:dyDescent="0.3">
      <c r="B77" s="10" t="str">
        <f t="shared" ca="1" si="2"/>
        <v>HCP_330169</v>
      </c>
      <c r="C77" s="11" t="s">
        <v>8</v>
      </c>
      <c r="D77" s="12">
        <v>44459</v>
      </c>
      <c r="E77" s="12">
        <v>44803</v>
      </c>
      <c r="F77" s="11">
        <v>58</v>
      </c>
      <c r="G77" s="11">
        <v>3</v>
      </c>
      <c r="H77" s="11">
        <v>20</v>
      </c>
      <c r="I77" s="11" t="s">
        <v>13</v>
      </c>
      <c r="J77" s="13" t="s">
        <v>10</v>
      </c>
      <c r="K77" s="10">
        <f>Table1[[#This Row],[Date of last Dispense]]-Table1[[#This Row],[Date of 1st Dispense]]</f>
        <v>344</v>
      </c>
      <c r="L77" s="10" t="str">
        <f t="shared" si="3"/>
        <v>6-12 Months</v>
      </c>
      <c r="M77"/>
      <c r="N77"/>
      <c r="Q77"/>
      <c r="R77"/>
      <c r="V77"/>
      <c r="W77"/>
      <c r="X77"/>
    </row>
    <row r="78" spans="2:24" x14ac:dyDescent="0.3">
      <c r="B78" s="10" t="str">
        <f t="shared" ca="1" si="2"/>
        <v>HCP_956437</v>
      </c>
      <c r="C78" s="11" t="s">
        <v>8</v>
      </c>
      <c r="D78" s="12">
        <v>44459</v>
      </c>
      <c r="E78" s="12">
        <v>44825</v>
      </c>
      <c r="F78" s="11">
        <v>58</v>
      </c>
      <c r="G78" s="11">
        <v>22</v>
      </c>
      <c r="H78" s="11">
        <v>22</v>
      </c>
      <c r="I78" s="11" t="s">
        <v>15</v>
      </c>
      <c r="J78" s="13" t="s">
        <v>10</v>
      </c>
      <c r="K78" s="10">
        <f>Table1[[#This Row],[Date of last Dispense]]-Table1[[#This Row],[Date of 1st Dispense]]</f>
        <v>366</v>
      </c>
      <c r="L78" s="10" t="str">
        <f t="shared" si="3"/>
        <v>12+ Months</v>
      </c>
      <c r="M78"/>
      <c r="N78"/>
      <c r="Q78"/>
      <c r="R78"/>
      <c r="V78"/>
      <c r="W78"/>
      <c r="X78"/>
    </row>
    <row r="79" spans="2:24" x14ac:dyDescent="0.3">
      <c r="B79" s="10" t="str">
        <f t="shared" ca="1" si="2"/>
        <v>HCP_921233</v>
      </c>
      <c r="C79" s="11" t="s">
        <v>8</v>
      </c>
      <c r="D79" s="12">
        <v>44459</v>
      </c>
      <c r="E79" s="12">
        <v>44805</v>
      </c>
      <c r="F79" s="11">
        <v>16</v>
      </c>
      <c r="G79" s="11">
        <v>30</v>
      </c>
      <c r="H79" s="11">
        <v>7</v>
      </c>
      <c r="I79" s="11" t="s">
        <v>13</v>
      </c>
      <c r="J79" s="13" t="s">
        <v>10</v>
      </c>
      <c r="K79" s="10">
        <f>Table1[[#This Row],[Date of last Dispense]]-Table1[[#This Row],[Date of 1st Dispense]]</f>
        <v>346</v>
      </c>
      <c r="L79" s="10" t="str">
        <f t="shared" si="3"/>
        <v>6-12 Months</v>
      </c>
      <c r="M79"/>
      <c r="N79"/>
      <c r="Q79"/>
      <c r="R79"/>
      <c r="V79"/>
      <c r="W79"/>
      <c r="X79"/>
    </row>
    <row r="80" spans="2:24" x14ac:dyDescent="0.3">
      <c r="B80" s="10" t="str">
        <f t="shared" ca="1" si="2"/>
        <v>HCP_546068</v>
      </c>
      <c r="C80" s="11" t="s">
        <v>8</v>
      </c>
      <c r="D80" s="12">
        <v>44459</v>
      </c>
      <c r="E80" s="12">
        <v>44812</v>
      </c>
      <c r="F80" s="11">
        <v>32</v>
      </c>
      <c r="G80" s="11">
        <v>43</v>
      </c>
      <c r="H80" s="11">
        <v>19</v>
      </c>
      <c r="I80" s="11" t="s">
        <v>13</v>
      </c>
      <c r="J80" s="13" t="s">
        <v>10</v>
      </c>
      <c r="K80" s="10">
        <f>Table1[[#This Row],[Date of last Dispense]]-Table1[[#This Row],[Date of 1st Dispense]]</f>
        <v>353</v>
      </c>
      <c r="L80" s="10" t="str">
        <f t="shared" si="3"/>
        <v>6-12 Months</v>
      </c>
      <c r="M80"/>
      <c r="N80"/>
      <c r="Q80"/>
      <c r="R80"/>
      <c r="V80"/>
      <c r="W80"/>
      <c r="X80"/>
    </row>
    <row r="81" spans="2:24" x14ac:dyDescent="0.3">
      <c r="B81" s="10" t="str">
        <f t="shared" ca="1" si="2"/>
        <v>HCP_437042</v>
      </c>
      <c r="C81" s="11" t="s">
        <v>8</v>
      </c>
      <c r="D81" s="12">
        <v>44459</v>
      </c>
      <c r="E81" s="12">
        <v>44825</v>
      </c>
      <c r="F81" s="11">
        <v>66</v>
      </c>
      <c r="G81" s="11">
        <v>40</v>
      </c>
      <c r="H81" s="11">
        <v>11</v>
      </c>
      <c r="I81" s="11" t="s">
        <v>14</v>
      </c>
      <c r="J81" s="13" t="s">
        <v>10</v>
      </c>
      <c r="K81" s="10">
        <f>Table1[[#This Row],[Date of last Dispense]]-Table1[[#This Row],[Date of 1st Dispense]]</f>
        <v>366</v>
      </c>
      <c r="L81" s="10" t="str">
        <f t="shared" si="3"/>
        <v>12+ Months</v>
      </c>
      <c r="M81"/>
      <c r="N81"/>
      <c r="Q81"/>
      <c r="R81"/>
      <c r="V81"/>
      <c r="W81"/>
      <c r="X81"/>
    </row>
    <row r="82" spans="2:24" x14ac:dyDescent="0.3">
      <c r="B82" s="10" t="str">
        <f t="shared" ca="1" si="2"/>
        <v>HCP_969568</v>
      </c>
      <c r="C82" s="11" t="s">
        <v>8</v>
      </c>
      <c r="D82" s="12">
        <v>44459</v>
      </c>
      <c r="E82" s="12">
        <v>44824</v>
      </c>
      <c r="F82" s="11">
        <v>38</v>
      </c>
      <c r="G82" s="11">
        <v>7</v>
      </c>
      <c r="H82" s="11">
        <v>27</v>
      </c>
      <c r="I82" s="11" t="s">
        <v>19</v>
      </c>
      <c r="J82" s="13" t="s">
        <v>10</v>
      </c>
      <c r="K82" s="10">
        <f>Table1[[#This Row],[Date of last Dispense]]-Table1[[#This Row],[Date of 1st Dispense]]</f>
        <v>365</v>
      </c>
      <c r="L82" s="10" t="str">
        <f t="shared" si="3"/>
        <v>6-12 Months</v>
      </c>
      <c r="M82"/>
      <c r="N82"/>
      <c r="Q82"/>
      <c r="R82"/>
      <c r="V82"/>
      <c r="W82"/>
      <c r="X82"/>
    </row>
    <row r="83" spans="2:24" x14ac:dyDescent="0.3">
      <c r="B83" s="10" t="str">
        <f t="shared" ca="1" si="2"/>
        <v>HCP_183953</v>
      </c>
      <c r="C83" s="11" t="s">
        <v>20</v>
      </c>
      <c r="D83" s="12">
        <v>44459</v>
      </c>
      <c r="E83" s="12">
        <v>44797</v>
      </c>
      <c r="F83" s="11">
        <v>6</v>
      </c>
      <c r="G83" s="11">
        <v>1</v>
      </c>
      <c r="H83" s="11">
        <v>24</v>
      </c>
      <c r="I83" s="11" t="s">
        <v>14</v>
      </c>
      <c r="J83" s="13" t="s">
        <v>10</v>
      </c>
      <c r="K83" s="10">
        <f>Table1[[#This Row],[Date of last Dispense]]-Table1[[#This Row],[Date of 1st Dispense]]</f>
        <v>338</v>
      </c>
      <c r="L83" s="10" t="str">
        <f t="shared" si="3"/>
        <v>6-12 Months</v>
      </c>
      <c r="M83"/>
      <c r="N83"/>
      <c r="Q83"/>
      <c r="R83"/>
      <c r="V83"/>
      <c r="W83"/>
      <c r="X83"/>
    </row>
    <row r="84" spans="2:24" x14ac:dyDescent="0.3">
      <c r="B84" s="10" t="str">
        <f t="shared" ca="1" si="2"/>
        <v>HCP_784848</v>
      </c>
      <c r="C84" s="11" t="s">
        <v>8</v>
      </c>
      <c r="D84" s="12">
        <v>44453</v>
      </c>
      <c r="E84" s="12">
        <v>44816</v>
      </c>
      <c r="F84" s="11">
        <v>66</v>
      </c>
      <c r="G84" s="11">
        <v>1</v>
      </c>
      <c r="H84" s="11">
        <v>15</v>
      </c>
      <c r="I84" s="11" t="s">
        <v>9</v>
      </c>
      <c r="J84" s="13" t="s">
        <v>10</v>
      </c>
      <c r="K84" s="10">
        <f>Table1[[#This Row],[Date of last Dispense]]-Table1[[#This Row],[Date of 1st Dispense]]</f>
        <v>363</v>
      </c>
      <c r="L84" s="10" t="str">
        <f t="shared" si="3"/>
        <v>6-12 Months</v>
      </c>
      <c r="M84"/>
      <c r="N84"/>
      <c r="Q84"/>
      <c r="R84"/>
      <c r="V84"/>
      <c r="W84"/>
      <c r="X84"/>
    </row>
    <row r="85" spans="2:24" x14ac:dyDescent="0.3">
      <c r="B85" s="10" t="str">
        <f t="shared" ca="1" si="2"/>
        <v>HCP_468060</v>
      </c>
      <c r="C85" s="11" t="s">
        <v>8</v>
      </c>
      <c r="D85" s="12">
        <v>44453</v>
      </c>
      <c r="E85" s="12">
        <v>44719</v>
      </c>
      <c r="F85" s="11">
        <v>23</v>
      </c>
      <c r="G85" s="11">
        <v>22</v>
      </c>
      <c r="H85" s="11">
        <v>12</v>
      </c>
      <c r="I85" s="11" t="s">
        <v>15</v>
      </c>
      <c r="J85" s="13" t="s">
        <v>16</v>
      </c>
      <c r="K85" s="10">
        <f>Table1[[#This Row],[Date of last Dispense]]-Table1[[#This Row],[Date of 1st Dispense]]</f>
        <v>266</v>
      </c>
      <c r="L85" s="10" t="str">
        <f t="shared" si="3"/>
        <v>6-12 Months</v>
      </c>
      <c r="M85"/>
      <c r="N85"/>
      <c r="Q85"/>
      <c r="R85"/>
      <c r="V85"/>
      <c r="W85"/>
      <c r="X85"/>
    </row>
    <row r="86" spans="2:24" x14ac:dyDescent="0.3">
      <c r="B86" s="10" t="str">
        <f t="shared" ca="1" si="2"/>
        <v>HCP_803390</v>
      </c>
      <c r="C86" s="11" t="s">
        <v>8</v>
      </c>
      <c r="D86" s="12">
        <v>44452</v>
      </c>
      <c r="E86" s="12">
        <v>44825</v>
      </c>
      <c r="F86" s="11">
        <v>64</v>
      </c>
      <c r="G86" s="11">
        <v>50</v>
      </c>
      <c r="H86" s="11">
        <v>18</v>
      </c>
      <c r="I86" s="11" t="s">
        <v>14</v>
      </c>
      <c r="J86" s="13" t="s">
        <v>10</v>
      </c>
      <c r="K86" s="10">
        <f>Table1[[#This Row],[Date of last Dispense]]-Table1[[#This Row],[Date of 1st Dispense]]</f>
        <v>373</v>
      </c>
      <c r="L86" s="10" t="str">
        <f t="shared" si="3"/>
        <v>12+ Months</v>
      </c>
      <c r="M86"/>
      <c r="N86"/>
      <c r="Q86"/>
      <c r="R86"/>
      <c r="V86"/>
      <c r="W86"/>
      <c r="X86"/>
    </row>
    <row r="87" spans="2:24" x14ac:dyDescent="0.3">
      <c r="B87" s="10" t="str">
        <f t="shared" ca="1" si="2"/>
        <v>HCP_469568</v>
      </c>
      <c r="C87" s="11" t="s">
        <v>23</v>
      </c>
      <c r="D87" s="12">
        <v>44452</v>
      </c>
      <c r="E87" s="12">
        <v>44820</v>
      </c>
      <c r="F87" s="11">
        <v>66</v>
      </c>
      <c r="G87" s="11">
        <v>8</v>
      </c>
      <c r="H87" s="11">
        <v>30</v>
      </c>
      <c r="I87" s="11" t="s">
        <v>14</v>
      </c>
      <c r="J87" s="13" t="s">
        <v>10</v>
      </c>
      <c r="K87" s="10">
        <f>Table1[[#This Row],[Date of last Dispense]]-Table1[[#This Row],[Date of 1st Dispense]]</f>
        <v>368</v>
      </c>
      <c r="L87" s="10" t="str">
        <f t="shared" si="3"/>
        <v>12+ Months</v>
      </c>
      <c r="M87"/>
      <c r="N87"/>
      <c r="Q87"/>
      <c r="R87"/>
      <c r="V87"/>
      <c r="W87"/>
      <c r="X87"/>
    </row>
    <row r="88" spans="2:24" x14ac:dyDescent="0.3">
      <c r="B88" s="10" t="str">
        <f t="shared" ca="1" si="2"/>
        <v>HCP_720475</v>
      </c>
      <c r="C88" s="11" t="s">
        <v>8</v>
      </c>
      <c r="D88" s="12">
        <v>44448</v>
      </c>
      <c r="E88" s="12">
        <v>44815</v>
      </c>
      <c r="F88" s="11">
        <v>26</v>
      </c>
      <c r="G88" s="11">
        <v>8</v>
      </c>
      <c r="H88" s="11">
        <v>2</v>
      </c>
      <c r="I88" s="11" t="s">
        <v>9</v>
      </c>
      <c r="J88" s="13" t="s">
        <v>10</v>
      </c>
      <c r="K88" s="10">
        <f>Table1[[#This Row],[Date of last Dispense]]-Table1[[#This Row],[Date of 1st Dispense]]</f>
        <v>367</v>
      </c>
      <c r="L88" s="10" t="str">
        <f t="shared" si="3"/>
        <v>12+ Months</v>
      </c>
      <c r="M88"/>
      <c r="N88"/>
      <c r="Q88"/>
      <c r="R88"/>
      <c r="V88"/>
      <c r="W88"/>
      <c r="X88"/>
    </row>
    <row r="89" spans="2:24" x14ac:dyDescent="0.3">
      <c r="B89" s="10" t="str">
        <f t="shared" ca="1" si="2"/>
        <v>HCP_362446</v>
      </c>
      <c r="C89" s="11" t="s">
        <v>8</v>
      </c>
      <c r="D89" s="12">
        <v>44445</v>
      </c>
      <c r="E89" s="12">
        <v>44445</v>
      </c>
      <c r="F89" s="11">
        <v>31</v>
      </c>
      <c r="G89" s="11">
        <v>7</v>
      </c>
      <c r="H89" s="11">
        <v>15</v>
      </c>
      <c r="I89" s="11" t="s">
        <v>9</v>
      </c>
      <c r="J89" s="13" t="s">
        <v>16</v>
      </c>
      <c r="K89" s="10">
        <f>Table1[[#This Row],[Date of last Dispense]]-Table1[[#This Row],[Date of 1st Dispense]]</f>
        <v>0</v>
      </c>
      <c r="L89" s="10" t="str">
        <f t="shared" si="3"/>
        <v>0-3 Months</v>
      </c>
      <c r="M89"/>
      <c r="N89"/>
      <c r="Q89"/>
      <c r="R89"/>
      <c r="V89"/>
      <c r="W89"/>
      <c r="X89"/>
    </row>
    <row r="90" spans="2:24" x14ac:dyDescent="0.3">
      <c r="B90" s="10" t="str">
        <f t="shared" ca="1" si="2"/>
        <v>HCP_262141</v>
      </c>
      <c r="C90" s="11" t="s">
        <v>12</v>
      </c>
      <c r="D90" s="12">
        <v>44440</v>
      </c>
      <c r="E90" s="12">
        <v>44621</v>
      </c>
      <c r="F90" s="11">
        <v>58</v>
      </c>
      <c r="G90" s="11">
        <v>28</v>
      </c>
      <c r="H90" s="11">
        <v>9</v>
      </c>
      <c r="I90" s="11" t="s">
        <v>9</v>
      </c>
      <c r="J90" s="13" t="s">
        <v>16</v>
      </c>
      <c r="K90" s="10">
        <f>Table1[[#This Row],[Date of last Dispense]]-Table1[[#This Row],[Date of 1st Dispense]]</f>
        <v>181</v>
      </c>
      <c r="L90" s="10" t="str">
        <f t="shared" si="3"/>
        <v>6-12 Months</v>
      </c>
      <c r="M90"/>
      <c r="N90"/>
      <c r="Q90"/>
      <c r="R90"/>
      <c r="V90"/>
      <c r="W90"/>
      <c r="X90"/>
    </row>
    <row r="91" spans="2:24" x14ac:dyDescent="0.3">
      <c r="B91" s="10" t="str">
        <f t="shared" ca="1" si="2"/>
        <v>HCP_353427</v>
      </c>
      <c r="C91" s="11" t="s">
        <v>8</v>
      </c>
      <c r="D91" s="12">
        <v>44440</v>
      </c>
      <c r="E91" s="12">
        <v>44768</v>
      </c>
      <c r="F91" s="11">
        <v>56</v>
      </c>
      <c r="G91" s="11">
        <v>24</v>
      </c>
      <c r="H91" s="11">
        <v>18</v>
      </c>
      <c r="I91" s="11" t="s">
        <v>9</v>
      </c>
      <c r="J91" s="13" t="s">
        <v>10</v>
      </c>
      <c r="K91" s="10">
        <f>Table1[[#This Row],[Date of last Dispense]]-Table1[[#This Row],[Date of 1st Dispense]]</f>
        <v>328</v>
      </c>
      <c r="L91" s="10" t="str">
        <f t="shared" si="3"/>
        <v>6-12 Months</v>
      </c>
      <c r="M91"/>
      <c r="N91"/>
      <c r="Q91"/>
      <c r="R91"/>
      <c r="V91"/>
      <c r="W91"/>
      <c r="X91"/>
    </row>
    <row r="92" spans="2:24" x14ac:dyDescent="0.3">
      <c r="B92" s="10" t="str">
        <f t="shared" ca="1" si="2"/>
        <v>HCP_246008</v>
      </c>
      <c r="C92" s="11" t="s">
        <v>8</v>
      </c>
      <c r="D92" s="12">
        <v>44433</v>
      </c>
      <c r="E92" s="12">
        <v>44818</v>
      </c>
      <c r="F92" s="11">
        <v>12</v>
      </c>
      <c r="G92" s="11">
        <v>19</v>
      </c>
      <c r="H92" s="11">
        <v>16</v>
      </c>
      <c r="I92" s="11" t="s">
        <v>9</v>
      </c>
      <c r="J92" s="13" t="s">
        <v>10</v>
      </c>
      <c r="K92" s="10">
        <f>Table1[[#This Row],[Date of last Dispense]]-Table1[[#This Row],[Date of 1st Dispense]]</f>
        <v>385</v>
      </c>
      <c r="L92" s="10" t="str">
        <f t="shared" si="3"/>
        <v>12+ Months</v>
      </c>
      <c r="M92"/>
      <c r="N92"/>
      <c r="Q92"/>
      <c r="R92"/>
      <c r="V92"/>
      <c r="W92"/>
      <c r="X92"/>
    </row>
    <row r="93" spans="2:24" x14ac:dyDescent="0.3">
      <c r="B93" s="10" t="str">
        <f t="shared" ca="1" si="2"/>
        <v>HCP_195429</v>
      </c>
      <c r="C93" s="11" t="s">
        <v>17</v>
      </c>
      <c r="D93" s="12">
        <v>44433</v>
      </c>
      <c r="E93" s="12">
        <v>44713</v>
      </c>
      <c r="F93" s="11">
        <v>23</v>
      </c>
      <c r="G93" s="11">
        <v>34</v>
      </c>
      <c r="H93" s="11">
        <v>5</v>
      </c>
      <c r="I93" s="11" t="s">
        <v>14</v>
      </c>
      <c r="J93" s="13" t="s">
        <v>16</v>
      </c>
      <c r="K93" s="10">
        <f>Table1[[#This Row],[Date of last Dispense]]-Table1[[#This Row],[Date of 1st Dispense]]</f>
        <v>280</v>
      </c>
      <c r="L93" s="10" t="str">
        <f t="shared" si="3"/>
        <v>6-12 Months</v>
      </c>
      <c r="M93"/>
      <c r="N93"/>
      <c r="Q93"/>
      <c r="R93"/>
      <c r="V93"/>
      <c r="W93"/>
      <c r="X93"/>
    </row>
    <row r="94" spans="2:24" x14ac:dyDescent="0.3">
      <c r="B94" s="10" t="str">
        <f t="shared" ca="1" si="2"/>
        <v>HCP_387469</v>
      </c>
      <c r="C94" s="11" t="s">
        <v>8</v>
      </c>
      <c r="D94" s="12">
        <v>44432</v>
      </c>
      <c r="E94" s="12">
        <v>44718</v>
      </c>
      <c r="F94" s="11">
        <v>32</v>
      </c>
      <c r="G94" s="11">
        <v>31</v>
      </c>
      <c r="H94" s="11">
        <v>27</v>
      </c>
      <c r="I94" s="11" t="s">
        <v>15</v>
      </c>
      <c r="J94" s="13" t="s">
        <v>16</v>
      </c>
      <c r="K94" s="10">
        <f>Table1[[#This Row],[Date of last Dispense]]-Table1[[#This Row],[Date of 1st Dispense]]</f>
        <v>286</v>
      </c>
      <c r="L94" s="10" t="str">
        <f t="shared" si="3"/>
        <v>6-12 Months</v>
      </c>
      <c r="M94"/>
      <c r="N94"/>
      <c r="Q94"/>
      <c r="R94"/>
      <c r="V94"/>
      <c r="W94"/>
      <c r="X94"/>
    </row>
    <row r="95" spans="2:24" x14ac:dyDescent="0.3">
      <c r="B95" s="10" t="str">
        <f t="shared" ca="1" si="2"/>
        <v>HCP_302470</v>
      </c>
      <c r="C95" s="11" t="s">
        <v>24</v>
      </c>
      <c r="D95" s="12">
        <v>44424</v>
      </c>
      <c r="E95" s="12">
        <v>44530</v>
      </c>
      <c r="F95" s="11">
        <v>60</v>
      </c>
      <c r="G95" s="11">
        <v>47</v>
      </c>
      <c r="H95" s="11">
        <v>23</v>
      </c>
      <c r="I95" s="11" t="s">
        <v>9</v>
      </c>
      <c r="J95" s="13" t="s">
        <v>16</v>
      </c>
      <c r="K95" s="10">
        <f>Table1[[#This Row],[Date of last Dispense]]-Table1[[#This Row],[Date of 1st Dispense]]</f>
        <v>106</v>
      </c>
      <c r="L95" s="10" t="str">
        <f t="shared" si="3"/>
        <v>3-6 Months</v>
      </c>
      <c r="M95"/>
      <c r="N95"/>
      <c r="Q95"/>
      <c r="R95"/>
      <c r="V95"/>
      <c r="W95"/>
      <c r="X95"/>
    </row>
    <row r="96" spans="2:24" x14ac:dyDescent="0.3">
      <c r="B96" s="10" t="str">
        <f t="shared" ca="1" si="2"/>
        <v>HCP_200657</v>
      </c>
      <c r="C96" s="11" t="s">
        <v>8</v>
      </c>
      <c r="D96" s="12">
        <v>44424</v>
      </c>
      <c r="E96" s="12">
        <v>44650</v>
      </c>
      <c r="F96" s="11">
        <v>52</v>
      </c>
      <c r="G96" s="11">
        <v>27</v>
      </c>
      <c r="H96" s="11">
        <v>14</v>
      </c>
      <c r="I96" s="11" t="s">
        <v>19</v>
      </c>
      <c r="J96" s="13" t="s">
        <v>16</v>
      </c>
      <c r="K96" s="10">
        <f>Table1[[#This Row],[Date of last Dispense]]-Table1[[#This Row],[Date of 1st Dispense]]</f>
        <v>226</v>
      </c>
      <c r="L96" s="10" t="str">
        <f t="shared" si="3"/>
        <v>6-12 Months</v>
      </c>
      <c r="M96"/>
      <c r="N96"/>
      <c r="Q96"/>
      <c r="R96"/>
      <c r="V96"/>
      <c r="W96"/>
      <c r="X96"/>
    </row>
    <row r="97" spans="2:24" x14ac:dyDescent="0.3">
      <c r="B97" s="10" t="str">
        <f t="shared" ca="1" si="2"/>
        <v>HCP_289893</v>
      </c>
      <c r="C97" s="11" t="s">
        <v>8</v>
      </c>
      <c r="D97" s="12">
        <v>44420</v>
      </c>
      <c r="E97" s="12">
        <v>44801</v>
      </c>
      <c r="F97" s="11">
        <v>9</v>
      </c>
      <c r="G97" s="11">
        <v>23</v>
      </c>
      <c r="H97" s="11">
        <v>7</v>
      </c>
      <c r="I97" s="11" t="s">
        <v>19</v>
      </c>
      <c r="J97" s="13" t="s">
        <v>10</v>
      </c>
      <c r="K97" s="10">
        <f>Table1[[#This Row],[Date of last Dispense]]-Table1[[#This Row],[Date of 1st Dispense]]</f>
        <v>381</v>
      </c>
      <c r="L97" s="10" t="str">
        <f t="shared" si="3"/>
        <v>12+ Months</v>
      </c>
      <c r="M97"/>
      <c r="N97"/>
      <c r="Q97"/>
      <c r="R97"/>
      <c r="V97"/>
      <c r="W97"/>
      <c r="X97"/>
    </row>
    <row r="98" spans="2:24" x14ac:dyDescent="0.3">
      <c r="B98" s="10" t="str">
        <f t="shared" ca="1" si="2"/>
        <v>HCP_846823</v>
      </c>
      <c r="C98" s="11" t="s">
        <v>8</v>
      </c>
      <c r="D98" s="12">
        <v>44419</v>
      </c>
      <c r="E98" s="12">
        <v>44802</v>
      </c>
      <c r="F98" s="11">
        <v>56</v>
      </c>
      <c r="G98" s="11">
        <v>47</v>
      </c>
      <c r="H98" s="11">
        <v>29</v>
      </c>
      <c r="I98" s="11" t="s">
        <v>9</v>
      </c>
      <c r="J98" s="13" t="s">
        <v>10</v>
      </c>
      <c r="K98" s="10">
        <f>Table1[[#This Row],[Date of last Dispense]]-Table1[[#This Row],[Date of 1st Dispense]]</f>
        <v>383</v>
      </c>
      <c r="L98" s="10" t="str">
        <f t="shared" si="3"/>
        <v>12+ Months</v>
      </c>
      <c r="M98"/>
      <c r="N98"/>
      <c r="Q98"/>
      <c r="R98"/>
      <c r="V98"/>
      <c r="W98"/>
      <c r="X98"/>
    </row>
    <row r="99" spans="2:24" x14ac:dyDescent="0.3">
      <c r="B99" s="10" t="str">
        <f t="shared" ca="1" si="2"/>
        <v>HCP_539816</v>
      </c>
      <c r="C99" s="11" t="s">
        <v>8</v>
      </c>
      <c r="D99" s="12">
        <v>44419</v>
      </c>
      <c r="E99" s="12">
        <v>44748</v>
      </c>
      <c r="F99" s="11">
        <v>64</v>
      </c>
      <c r="G99" s="11">
        <v>8</v>
      </c>
      <c r="H99" s="11">
        <v>12</v>
      </c>
      <c r="I99" s="11" t="s">
        <v>13</v>
      </c>
      <c r="J99" s="13" t="s">
        <v>10</v>
      </c>
      <c r="K99" s="10">
        <f>Table1[[#This Row],[Date of last Dispense]]-Table1[[#This Row],[Date of 1st Dispense]]</f>
        <v>329</v>
      </c>
      <c r="L99" s="10" t="str">
        <f t="shared" si="3"/>
        <v>6-12 Months</v>
      </c>
      <c r="M99"/>
      <c r="N99"/>
      <c r="Q99"/>
      <c r="R99"/>
      <c r="V99"/>
      <c r="W99"/>
      <c r="X99"/>
    </row>
    <row r="100" spans="2:24" x14ac:dyDescent="0.3">
      <c r="B100" s="10" t="str">
        <f t="shared" ca="1" si="2"/>
        <v>HCP_408687</v>
      </c>
      <c r="C100" s="11" t="s">
        <v>8</v>
      </c>
      <c r="D100" s="12">
        <v>44418</v>
      </c>
      <c r="E100" s="12">
        <v>44824</v>
      </c>
      <c r="F100" s="11">
        <v>24</v>
      </c>
      <c r="G100" s="11">
        <v>14</v>
      </c>
      <c r="H100" s="11">
        <v>22</v>
      </c>
      <c r="I100" s="11" t="s">
        <v>14</v>
      </c>
      <c r="J100" s="13" t="s">
        <v>10</v>
      </c>
      <c r="K100" s="10">
        <f>Table1[[#This Row],[Date of last Dispense]]-Table1[[#This Row],[Date of 1st Dispense]]</f>
        <v>406</v>
      </c>
      <c r="L100" s="10" t="str">
        <f t="shared" si="3"/>
        <v>12+ Months</v>
      </c>
      <c r="M100"/>
      <c r="N100"/>
      <c r="Q100"/>
      <c r="R100"/>
      <c r="V100"/>
      <c r="W100"/>
      <c r="X100"/>
    </row>
    <row r="101" spans="2:24" x14ac:dyDescent="0.3">
      <c r="B101" s="10" t="str">
        <f t="shared" ca="1" si="2"/>
        <v>HCP_302760</v>
      </c>
      <c r="C101" s="11" t="s">
        <v>17</v>
      </c>
      <c r="D101" s="12">
        <v>44418</v>
      </c>
      <c r="E101" s="12">
        <v>44827</v>
      </c>
      <c r="F101" s="11">
        <v>1</v>
      </c>
      <c r="G101" s="11">
        <v>40</v>
      </c>
      <c r="H101" s="11">
        <v>14</v>
      </c>
      <c r="I101" s="11" t="s">
        <v>15</v>
      </c>
      <c r="J101" s="13" t="s">
        <v>10</v>
      </c>
      <c r="K101" s="10">
        <f>Table1[[#This Row],[Date of last Dispense]]-Table1[[#This Row],[Date of 1st Dispense]]</f>
        <v>409</v>
      </c>
      <c r="L101" s="10" t="str">
        <f t="shared" si="3"/>
        <v>12+ Months</v>
      </c>
      <c r="M101"/>
      <c r="N101"/>
      <c r="Q101"/>
      <c r="R101"/>
      <c r="V101"/>
      <c r="W101"/>
      <c r="X101"/>
    </row>
    <row r="102" spans="2:24" x14ac:dyDescent="0.3">
      <c r="B102" s="10" t="str">
        <f t="shared" ca="1" si="2"/>
        <v>HCP_706311</v>
      </c>
      <c r="C102" s="11" t="s">
        <v>12</v>
      </c>
      <c r="D102" s="12">
        <v>44417</v>
      </c>
      <c r="E102" s="12">
        <v>44811</v>
      </c>
      <c r="F102" s="11">
        <v>50</v>
      </c>
      <c r="G102" s="11">
        <v>21</v>
      </c>
      <c r="H102" s="11">
        <v>10</v>
      </c>
      <c r="I102" s="11" t="s">
        <v>14</v>
      </c>
      <c r="J102" s="13" t="s">
        <v>10</v>
      </c>
      <c r="K102" s="10">
        <f>Table1[[#This Row],[Date of last Dispense]]-Table1[[#This Row],[Date of 1st Dispense]]</f>
        <v>394</v>
      </c>
      <c r="L102" s="10" t="str">
        <f t="shared" si="3"/>
        <v>12+ Months</v>
      </c>
      <c r="M102"/>
      <c r="N102"/>
      <c r="Q102"/>
      <c r="R102"/>
      <c r="V102"/>
      <c r="W102"/>
      <c r="X102"/>
    </row>
    <row r="103" spans="2:24" x14ac:dyDescent="0.3">
      <c r="B103" s="10" t="str">
        <f t="shared" ca="1" si="2"/>
        <v>HCP_761180</v>
      </c>
      <c r="C103" s="11" t="s">
        <v>8</v>
      </c>
      <c r="D103" s="12">
        <v>44413</v>
      </c>
      <c r="E103" s="12">
        <v>44811</v>
      </c>
      <c r="F103" s="11">
        <v>50</v>
      </c>
      <c r="G103" s="11">
        <v>47</v>
      </c>
      <c r="H103" s="11">
        <v>24</v>
      </c>
      <c r="I103" s="11" t="s">
        <v>15</v>
      </c>
      <c r="J103" s="13" t="s">
        <v>10</v>
      </c>
      <c r="K103" s="10">
        <f>Table1[[#This Row],[Date of last Dispense]]-Table1[[#This Row],[Date of 1st Dispense]]</f>
        <v>398</v>
      </c>
      <c r="L103" s="10" t="str">
        <f t="shared" si="3"/>
        <v>12+ Months</v>
      </c>
      <c r="M103"/>
      <c r="N103"/>
      <c r="Q103"/>
      <c r="R103"/>
      <c r="V103"/>
      <c r="W103"/>
      <c r="X103"/>
    </row>
    <row r="104" spans="2:24" x14ac:dyDescent="0.3">
      <c r="B104" s="10" t="str">
        <f t="shared" ca="1" si="2"/>
        <v>HCP_923213</v>
      </c>
      <c r="C104" s="11" t="s">
        <v>8</v>
      </c>
      <c r="D104" s="12">
        <v>44412</v>
      </c>
      <c r="E104" s="12">
        <v>44412</v>
      </c>
      <c r="F104" s="11">
        <v>67</v>
      </c>
      <c r="G104" s="11">
        <v>17</v>
      </c>
      <c r="H104" s="11">
        <v>4</v>
      </c>
      <c r="I104" s="11" t="s">
        <v>9</v>
      </c>
      <c r="J104" s="13" t="s">
        <v>16</v>
      </c>
      <c r="K104" s="10">
        <f>Table1[[#This Row],[Date of last Dispense]]-Table1[[#This Row],[Date of 1st Dispense]]</f>
        <v>0</v>
      </c>
      <c r="L104" s="10" t="str">
        <f t="shared" si="3"/>
        <v>0-3 Months</v>
      </c>
      <c r="M104"/>
      <c r="N104"/>
      <c r="Q104"/>
      <c r="R104"/>
      <c r="V104"/>
      <c r="W104"/>
      <c r="X104"/>
    </row>
    <row r="105" spans="2:24" x14ac:dyDescent="0.3">
      <c r="B105" s="10" t="str">
        <f t="shared" ca="1" si="2"/>
        <v>HCP_231613</v>
      </c>
      <c r="C105" s="11" t="s">
        <v>8</v>
      </c>
      <c r="D105" s="12">
        <v>44411</v>
      </c>
      <c r="E105" s="12">
        <v>44825</v>
      </c>
      <c r="F105" s="11">
        <v>1</v>
      </c>
      <c r="G105" s="11">
        <v>43</v>
      </c>
      <c r="H105" s="11">
        <v>20</v>
      </c>
      <c r="I105" s="11" t="s">
        <v>13</v>
      </c>
      <c r="J105" s="13" t="s">
        <v>10</v>
      </c>
      <c r="K105" s="10">
        <f>Table1[[#This Row],[Date of last Dispense]]-Table1[[#This Row],[Date of 1st Dispense]]</f>
        <v>414</v>
      </c>
      <c r="L105" s="10" t="str">
        <f t="shared" si="3"/>
        <v>12+ Months</v>
      </c>
      <c r="M105"/>
      <c r="N105"/>
      <c r="Q105"/>
      <c r="R105"/>
      <c r="V105"/>
      <c r="W105"/>
      <c r="X105"/>
    </row>
    <row r="106" spans="2:24" x14ac:dyDescent="0.3">
      <c r="B106" s="10" t="str">
        <f t="shared" ca="1" si="2"/>
        <v>HCP_893435</v>
      </c>
      <c r="C106" s="11" t="s">
        <v>8</v>
      </c>
      <c r="D106" s="12">
        <v>44411</v>
      </c>
      <c r="E106" s="12">
        <v>44795</v>
      </c>
      <c r="F106" s="11">
        <v>11</v>
      </c>
      <c r="G106" s="11">
        <v>21</v>
      </c>
      <c r="H106" s="11">
        <v>17</v>
      </c>
      <c r="I106" s="11" t="s">
        <v>13</v>
      </c>
      <c r="J106" s="13" t="s">
        <v>10</v>
      </c>
      <c r="K106" s="10">
        <f>Table1[[#This Row],[Date of last Dispense]]-Table1[[#This Row],[Date of 1st Dispense]]</f>
        <v>384</v>
      </c>
      <c r="L106" s="10" t="str">
        <f t="shared" si="3"/>
        <v>12+ Months</v>
      </c>
      <c r="M106"/>
      <c r="N106"/>
      <c r="Q106"/>
      <c r="R106"/>
      <c r="V106"/>
      <c r="W106"/>
      <c r="X106"/>
    </row>
    <row r="107" spans="2:24" x14ac:dyDescent="0.3">
      <c r="B107" s="10" t="str">
        <f t="shared" ca="1" si="2"/>
        <v>HCP_251403</v>
      </c>
      <c r="C107" s="11" t="s">
        <v>8</v>
      </c>
      <c r="D107" s="12">
        <v>44410</v>
      </c>
      <c r="E107" s="12">
        <v>44824</v>
      </c>
      <c r="F107" s="11">
        <v>15</v>
      </c>
      <c r="G107" s="11">
        <v>34</v>
      </c>
      <c r="H107" s="11">
        <v>8</v>
      </c>
      <c r="I107" s="11" t="s">
        <v>9</v>
      </c>
      <c r="J107" s="13" t="s">
        <v>10</v>
      </c>
      <c r="K107" s="10">
        <f>Table1[[#This Row],[Date of last Dispense]]-Table1[[#This Row],[Date of 1st Dispense]]</f>
        <v>414</v>
      </c>
      <c r="L107" s="10" t="str">
        <f t="shared" si="3"/>
        <v>12+ Months</v>
      </c>
      <c r="M107"/>
      <c r="N107"/>
      <c r="Q107"/>
      <c r="R107"/>
      <c r="V107"/>
      <c r="W107"/>
      <c r="X107"/>
    </row>
    <row r="108" spans="2:24" x14ac:dyDescent="0.3">
      <c r="B108" s="10" t="str">
        <f t="shared" ca="1" si="2"/>
        <v>HCP_381424</v>
      </c>
      <c r="C108" s="11" t="s">
        <v>8</v>
      </c>
      <c r="D108" s="12">
        <v>44410</v>
      </c>
      <c r="E108" s="12">
        <v>44817</v>
      </c>
      <c r="F108" s="11">
        <v>28</v>
      </c>
      <c r="G108" s="11">
        <v>36</v>
      </c>
      <c r="H108" s="11">
        <v>19</v>
      </c>
      <c r="I108" s="11" t="s">
        <v>9</v>
      </c>
      <c r="J108" s="13" t="s">
        <v>10</v>
      </c>
      <c r="K108" s="10">
        <f>Table1[[#This Row],[Date of last Dispense]]-Table1[[#This Row],[Date of 1st Dispense]]</f>
        <v>407</v>
      </c>
      <c r="L108" s="10" t="str">
        <f t="shared" si="3"/>
        <v>12+ Months</v>
      </c>
      <c r="M108"/>
      <c r="N108"/>
      <c r="Q108"/>
      <c r="R108"/>
      <c r="V108"/>
      <c r="W108"/>
      <c r="X108"/>
    </row>
    <row r="109" spans="2:24" x14ac:dyDescent="0.3">
      <c r="B109" s="10" t="str">
        <f t="shared" ca="1" si="2"/>
        <v>HCP_827463</v>
      </c>
      <c r="C109" s="11" t="s">
        <v>8</v>
      </c>
      <c r="D109" s="12">
        <v>44410</v>
      </c>
      <c r="E109" s="12">
        <v>44826</v>
      </c>
      <c r="F109" s="11">
        <v>56</v>
      </c>
      <c r="G109" s="11">
        <v>26</v>
      </c>
      <c r="H109" s="11">
        <v>6</v>
      </c>
      <c r="I109" s="11" t="s">
        <v>13</v>
      </c>
      <c r="J109" s="13" t="s">
        <v>10</v>
      </c>
      <c r="K109" s="10">
        <f>Table1[[#This Row],[Date of last Dispense]]-Table1[[#This Row],[Date of 1st Dispense]]</f>
        <v>416</v>
      </c>
      <c r="L109" s="10" t="str">
        <f t="shared" si="3"/>
        <v>12+ Months</v>
      </c>
      <c r="M109"/>
      <c r="N109"/>
      <c r="Q109"/>
      <c r="R109"/>
      <c r="V109"/>
      <c r="W109"/>
      <c r="X109"/>
    </row>
    <row r="110" spans="2:24" x14ac:dyDescent="0.3">
      <c r="B110" s="10" t="str">
        <f t="shared" ca="1" si="2"/>
        <v>HCP_266487</v>
      </c>
      <c r="C110" s="11" t="s">
        <v>8</v>
      </c>
      <c r="D110" s="12">
        <v>44410</v>
      </c>
      <c r="E110" s="12">
        <v>44728</v>
      </c>
      <c r="F110" s="11">
        <v>43</v>
      </c>
      <c r="G110" s="11">
        <v>3</v>
      </c>
      <c r="H110" s="11">
        <v>24</v>
      </c>
      <c r="I110" s="11" t="s">
        <v>13</v>
      </c>
      <c r="J110" s="13" t="s">
        <v>16</v>
      </c>
      <c r="K110" s="10">
        <f>Table1[[#This Row],[Date of last Dispense]]-Table1[[#This Row],[Date of 1st Dispense]]</f>
        <v>318</v>
      </c>
      <c r="L110" s="10" t="str">
        <f t="shared" si="3"/>
        <v>6-12 Months</v>
      </c>
      <c r="M110"/>
      <c r="N110"/>
      <c r="Q110"/>
      <c r="R110"/>
      <c r="V110"/>
      <c r="W110"/>
      <c r="X110"/>
    </row>
    <row r="111" spans="2:24" x14ac:dyDescent="0.3">
      <c r="B111" s="10" t="str">
        <f t="shared" ca="1" si="2"/>
        <v>HCP_299541</v>
      </c>
      <c r="C111" s="11" t="s">
        <v>17</v>
      </c>
      <c r="D111" s="12">
        <v>44410</v>
      </c>
      <c r="E111" s="12">
        <v>44825</v>
      </c>
      <c r="F111" s="11">
        <v>65</v>
      </c>
      <c r="G111" s="11">
        <v>30</v>
      </c>
      <c r="H111" s="11">
        <v>4</v>
      </c>
      <c r="I111" s="11" t="s">
        <v>9</v>
      </c>
      <c r="J111" s="13" t="s">
        <v>10</v>
      </c>
      <c r="K111" s="10">
        <f>Table1[[#This Row],[Date of last Dispense]]-Table1[[#This Row],[Date of 1st Dispense]]</f>
        <v>415</v>
      </c>
      <c r="L111" s="10" t="str">
        <f t="shared" si="3"/>
        <v>12+ Months</v>
      </c>
      <c r="M111"/>
      <c r="N111"/>
      <c r="Q111"/>
      <c r="R111"/>
      <c r="V111"/>
      <c r="W111"/>
      <c r="X111"/>
    </row>
    <row r="112" spans="2:24" x14ac:dyDescent="0.3">
      <c r="B112" s="10" t="str">
        <f t="shared" ca="1" si="2"/>
        <v>HCP_885507</v>
      </c>
      <c r="C112" s="11" t="s">
        <v>17</v>
      </c>
      <c r="D112" s="12">
        <v>44410</v>
      </c>
      <c r="E112" s="12">
        <v>44715</v>
      </c>
      <c r="F112" s="11">
        <v>18</v>
      </c>
      <c r="G112" s="11">
        <v>17</v>
      </c>
      <c r="H112" s="11">
        <v>27</v>
      </c>
      <c r="I112" s="11" t="s">
        <v>14</v>
      </c>
      <c r="J112" s="13" t="s">
        <v>16</v>
      </c>
      <c r="K112" s="10">
        <f>Table1[[#This Row],[Date of last Dispense]]-Table1[[#This Row],[Date of 1st Dispense]]</f>
        <v>305</v>
      </c>
      <c r="L112" s="10" t="str">
        <f t="shared" si="3"/>
        <v>6-12 Months</v>
      </c>
      <c r="M112"/>
      <c r="N112"/>
      <c r="Q112"/>
      <c r="R112"/>
      <c r="V112"/>
      <c r="W112"/>
      <c r="X112"/>
    </row>
    <row r="113" spans="2:24" x14ac:dyDescent="0.3">
      <c r="B113" s="10" t="str">
        <f t="shared" ca="1" si="2"/>
        <v>HCP_114849</v>
      </c>
      <c r="C113" s="11" t="s">
        <v>8</v>
      </c>
      <c r="D113" s="12">
        <v>44406</v>
      </c>
      <c r="E113" s="12">
        <v>44494</v>
      </c>
      <c r="F113" s="11">
        <v>41</v>
      </c>
      <c r="G113" s="11">
        <v>25</v>
      </c>
      <c r="H113" s="11">
        <v>14</v>
      </c>
      <c r="I113" s="11" t="s">
        <v>19</v>
      </c>
      <c r="J113" s="13" t="s">
        <v>16</v>
      </c>
      <c r="K113" s="10">
        <f>Table1[[#This Row],[Date of last Dispense]]-Table1[[#This Row],[Date of 1st Dispense]]</f>
        <v>88</v>
      </c>
      <c r="L113" s="10" t="str">
        <f t="shared" si="3"/>
        <v>0-3 Months</v>
      </c>
      <c r="M113"/>
      <c r="N113"/>
      <c r="Q113"/>
      <c r="R113"/>
      <c r="V113"/>
      <c r="W113"/>
      <c r="X113"/>
    </row>
    <row r="114" spans="2:24" x14ac:dyDescent="0.3">
      <c r="B114" s="10" t="str">
        <f t="shared" ca="1" si="2"/>
        <v>HCP_448489</v>
      </c>
      <c r="C114" s="11" t="s">
        <v>8</v>
      </c>
      <c r="D114" s="12">
        <v>44406</v>
      </c>
      <c r="E114" s="12">
        <v>44818</v>
      </c>
      <c r="F114" s="11">
        <v>14</v>
      </c>
      <c r="G114" s="11">
        <v>7</v>
      </c>
      <c r="H114" s="11">
        <v>30</v>
      </c>
      <c r="I114" s="11" t="s">
        <v>19</v>
      </c>
      <c r="J114" s="13" t="s">
        <v>10</v>
      </c>
      <c r="K114" s="10">
        <f>Table1[[#This Row],[Date of last Dispense]]-Table1[[#This Row],[Date of 1st Dispense]]</f>
        <v>412</v>
      </c>
      <c r="L114" s="10" t="str">
        <f t="shared" si="3"/>
        <v>12+ Months</v>
      </c>
      <c r="M114"/>
      <c r="N114"/>
      <c r="Q114"/>
      <c r="R114"/>
      <c r="V114"/>
      <c r="W114"/>
      <c r="X114"/>
    </row>
    <row r="115" spans="2:24" x14ac:dyDescent="0.3">
      <c r="B115" s="10" t="str">
        <f t="shared" ca="1" si="2"/>
        <v>HCP_916742</v>
      </c>
      <c r="C115" s="11" t="s">
        <v>8</v>
      </c>
      <c r="D115" s="12">
        <v>44404</v>
      </c>
      <c r="E115" s="12">
        <v>44404</v>
      </c>
      <c r="F115" s="11">
        <v>47</v>
      </c>
      <c r="G115" s="11">
        <v>6</v>
      </c>
      <c r="H115" s="11">
        <v>30</v>
      </c>
      <c r="I115" s="11" t="s">
        <v>13</v>
      </c>
      <c r="J115" s="13" t="s">
        <v>16</v>
      </c>
      <c r="K115" s="10">
        <f>Table1[[#This Row],[Date of last Dispense]]-Table1[[#This Row],[Date of 1st Dispense]]</f>
        <v>0</v>
      </c>
      <c r="L115" s="10" t="str">
        <f t="shared" si="3"/>
        <v>0-3 Months</v>
      </c>
      <c r="M115"/>
      <c r="N115"/>
      <c r="Q115"/>
      <c r="R115"/>
      <c r="V115"/>
      <c r="W115"/>
      <c r="X115"/>
    </row>
    <row r="116" spans="2:24" x14ac:dyDescent="0.3">
      <c r="B116" s="10" t="str">
        <f t="shared" ca="1" si="2"/>
        <v>HCP_658571</v>
      </c>
      <c r="C116" s="11" t="s">
        <v>20</v>
      </c>
      <c r="D116" s="12">
        <v>44403</v>
      </c>
      <c r="E116" s="12">
        <v>44822</v>
      </c>
      <c r="F116" s="11">
        <v>37</v>
      </c>
      <c r="G116" s="11">
        <v>46</v>
      </c>
      <c r="H116" s="11">
        <v>16</v>
      </c>
      <c r="I116" s="11" t="s">
        <v>13</v>
      </c>
      <c r="J116" s="13" t="s">
        <v>10</v>
      </c>
      <c r="K116" s="10">
        <f>Table1[[#This Row],[Date of last Dispense]]-Table1[[#This Row],[Date of 1st Dispense]]</f>
        <v>419</v>
      </c>
      <c r="L116" s="10" t="str">
        <f t="shared" si="3"/>
        <v>12+ Months</v>
      </c>
      <c r="M116"/>
      <c r="N116"/>
      <c r="Q116"/>
      <c r="R116"/>
      <c r="V116"/>
      <c r="W116"/>
      <c r="X116"/>
    </row>
    <row r="117" spans="2:24" x14ac:dyDescent="0.3">
      <c r="B117" s="10" t="str">
        <f t="shared" ca="1" si="2"/>
        <v>HCP_891635</v>
      </c>
      <c r="C117" s="11" t="s">
        <v>8</v>
      </c>
      <c r="D117" s="12">
        <v>44081</v>
      </c>
      <c r="E117" s="12">
        <v>44826</v>
      </c>
      <c r="F117" s="11">
        <v>42</v>
      </c>
      <c r="G117" s="11">
        <v>13</v>
      </c>
      <c r="H117" s="11">
        <v>11</v>
      </c>
      <c r="I117" s="11" t="s">
        <v>15</v>
      </c>
      <c r="J117" s="13" t="s">
        <v>10</v>
      </c>
      <c r="K117" s="10">
        <f>Table1[[#This Row],[Date of last Dispense]]-Table1[[#This Row],[Date of 1st Dispense]]</f>
        <v>745</v>
      </c>
      <c r="L117" s="10" t="str">
        <f t="shared" si="3"/>
        <v>12+ Months</v>
      </c>
      <c r="M117"/>
      <c r="N117"/>
      <c r="Q117"/>
      <c r="R117"/>
      <c r="V117"/>
      <c r="W117"/>
      <c r="X117"/>
    </row>
    <row r="118" spans="2:24" x14ac:dyDescent="0.3">
      <c r="B118" s="10" t="str">
        <f t="shared" ca="1" si="2"/>
        <v>HCP_220610</v>
      </c>
      <c r="C118" s="11" t="s">
        <v>8</v>
      </c>
      <c r="D118" s="12">
        <v>44396</v>
      </c>
      <c r="E118" s="12">
        <v>44817</v>
      </c>
      <c r="F118" s="11">
        <v>53</v>
      </c>
      <c r="G118" s="11">
        <v>23</v>
      </c>
      <c r="H118" s="11">
        <v>17</v>
      </c>
      <c r="I118" s="11" t="s">
        <v>14</v>
      </c>
      <c r="J118" s="13" t="s">
        <v>10</v>
      </c>
      <c r="K118" s="10">
        <f>Table1[[#This Row],[Date of last Dispense]]-Table1[[#This Row],[Date of 1st Dispense]]</f>
        <v>421</v>
      </c>
      <c r="L118" s="10" t="str">
        <f t="shared" si="3"/>
        <v>12+ Months</v>
      </c>
      <c r="M118"/>
      <c r="N118"/>
      <c r="Q118"/>
      <c r="R118"/>
      <c r="V118"/>
      <c r="W118"/>
      <c r="X118"/>
    </row>
    <row r="119" spans="2:24" x14ac:dyDescent="0.3">
      <c r="B119" s="10" t="str">
        <f t="shared" ca="1" si="2"/>
        <v>HCP_651888</v>
      </c>
      <c r="C119" s="11" t="s">
        <v>8</v>
      </c>
      <c r="D119" s="12">
        <v>44396</v>
      </c>
      <c r="E119" s="12">
        <v>44434</v>
      </c>
      <c r="F119" s="11">
        <v>50</v>
      </c>
      <c r="G119" s="11">
        <v>24</v>
      </c>
      <c r="H119" s="11">
        <v>6</v>
      </c>
      <c r="I119" s="11" t="s">
        <v>15</v>
      </c>
      <c r="J119" s="13" t="s">
        <v>16</v>
      </c>
      <c r="K119" s="10">
        <f>Table1[[#This Row],[Date of last Dispense]]-Table1[[#This Row],[Date of 1st Dispense]]</f>
        <v>38</v>
      </c>
      <c r="L119" s="10" t="str">
        <f t="shared" si="3"/>
        <v>0-3 Months</v>
      </c>
      <c r="M119"/>
      <c r="N119"/>
      <c r="Q119"/>
      <c r="R119"/>
      <c r="V119"/>
      <c r="W119"/>
      <c r="X119"/>
    </row>
    <row r="120" spans="2:24" x14ac:dyDescent="0.3">
      <c r="B120" s="10" t="str">
        <f t="shared" ca="1" si="2"/>
        <v>HCP_401776</v>
      </c>
      <c r="C120" s="11" t="s">
        <v>25</v>
      </c>
      <c r="D120" s="12">
        <v>44392</v>
      </c>
      <c r="E120" s="12">
        <v>44788</v>
      </c>
      <c r="F120" s="11">
        <v>1</v>
      </c>
      <c r="G120" s="11">
        <v>17</v>
      </c>
      <c r="H120" s="11">
        <v>14</v>
      </c>
      <c r="I120" s="11" t="s">
        <v>14</v>
      </c>
      <c r="J120" s="13" t="s">
        <v>10</v>
      </c>
      <c r="K120" s="10">
        <f>Table1[[#This Row],[Date of last Dispense]]-Table1[[#This Row],[Date of 1st Dispense]]</f>
        <v>396</v>
      </c>
      <c r="L120" s="10" t="str">
        <f t="shared" si="3"/>
        <v>12+ Months</v>
      </c>
      <c r="M120"/>
      <c r="N120"/>
      <c r="Q120"/>
      <c r="R120"/>
      <c r="V120"/>
      <c r="W120"/>
      <c r="X120"/>
    </row>
    <row r="121" spans="2:24" x14ac:dyDescent="0.3">
      <c r="B121" s="10" t="str">
        <f t="shared" ca="1" si="2"/>
        <v>HCP_459903</v>
      </c>
      <c r="C121" s="11" t="s">
        <v>8</v>
      </c>
      <c r="D121" s="12">
        <v>44392</v>
      </c>
      <c r="E121" s="12">
        <v>44545</v>
      </c>
      <c r="F121" s="11">
        <v>50</v>
      </c>
      <c r="G121" s="11">
        <v>6</v>
      </c>
      <c r="H121" s="11">
        <v>2</v>
      </c>
      <c r="I121" s="11" t="s">
        <v>9</v>
      </c>
      <c r="J121" s="13" t="s">
        <v>16</v>
      </c>
      <c r="K121" s="10">
        <f>Table1[[#This Row],[Date of last Dispense]]-Table1[[#This Row],[Date of 1st Dispense]]</f>
        <v>153</v>
      </c>
      <c r="L121" s="10" t="str">
        <f t="shared" si="3"/>
        <v>3-6 Months</v>
      </c>
      <c r="M121"/>
      <c r="N121"/>
      <c r="Q121"/>
      <c r="R121"/>
      <c r="V121"/>
      <c r="W121"/>
      <c r="X121"/>
    </row>
    <row r="122" spans="2:24" x14ac:dyDescent="0.3">
      <c r="B122" s="10" t="str">
        <f t="shared" ca="1" si="2"/>
        <v>HCP_693048</v>
      </c>
      <c r="C122" s="11" t="s">
        <v>17</v>
      </c>
      <c r="D122" s="12">
        <v>44391</v>
      </c>
      <c r="E122" s="12">
        <v>44826</v>
      </c>
      <c r="F122" s="11">
        <v>21</v>
      </c>
      <c r="G122" s="11">
        <v>37</v>
      </c>
      <c r="H122" s="11">
        <v>1</v>
      </c>
      <c r="I122" s="11" t="s">
        <v>19</v>
      </c>
      <c r="J122" s="13" t="s">
        <v>10</v>
      </c>
      <c r="K122" s="10">
        <f>Table1[[#This Row],[Date of last Dispense]]-Table1[[#This Row],[Date of 1st Dispense]]</f>
        <v>435</v>
      </c>
      <c r="L122" s="10" t="str">
        <f t="shared" si="3"/>
        <v>12+ Months</v>
      </c>
      <c r="M122"/>
      <c r="N122"/>
      <c r="Q122"/>
      <c r="R122"/>
      <c r="V122"/>
      <c r="W122"/>
      <c r="X122"/>
    </row>
    <row r="123" spans="2:24" x14ac:dyDescent="0.3">
      <c r="B123" s="10" t="str">
        <f t="shared" ca="1" si="2"/>
        <v>HCP_165356</v>
      </c>
      <c r="C123" s="11" t="s">
        <v>18</v>
      </c>
      <c r="D123" s="12">
        <v>44390</v>
      </c>
      <c r="E123" s="12">
        <v>44607</v>
      </c>
      <c r="F123" s="11">
        <v>17</v>
      </c>
      <c r="G123" s="11">
        <v>33</v>
      </c>
      <c r="H123" s="11">
        <v>23</v>
      </c>
      <c r="I123" s="11" t="s">
        <v>11</v>
      </c>
      <c r="J123" s="13" t="s">
        <v>16</v>
      </c>
      <c r="K123" s="10">
        <f>Table1[[#This Row],[Date of last Dispense]]-Table1[[#This Row],[Date of 1st Dispense]]</f>
        <v>217</v>
      </c>
      <c r="L123" s="10" t="str">
        <f t="shared" si="3"/>
        <v>6-12 Months</v>
      </c>
      <c r="M123"/>
      <c r="N123"/>
      <c r="Q123"/>
      <c r="R123"/>
      <c r="V123"/>
      <c r="W123"/>
      <c r="X123"/>
    </row>
    <row r="124" spans="2:24" x14ac:dyDescent="0.3">
      <c r="B124" s="10" t="str">
        <f t="shared" ca="1" si="2"/>
        <v>HCP_498766</v>
      </c>
      <c r="C124" s="11" t="s">
        <v>8</v>
      </c>
      <c r="D124" s="12">
        <v>44384</v>
      </c>
      <c r="E124" s="12">
        <v>44637</v>
      </c>
      <c r="F124" s="11">
        <v>53</v>
      </c>
      <c r="G124" s="11">
        <v>37</v>
      </c>
      <c r="H124" s="11">
        <v>16</v>
      </c>
      <c r="I124" s="11" t="s">
        <v>13</v>
      </c>
      <c r="J124" s="13" t="s">
        <v>16</v>
      </c>
      <c r="K124" s="10">
        <f>Table1[[#This Row],[Date of last Dispense]]-Table1[[#This Row],[Date of 1st Dispense]]</f>
        <v>253</v>
      </c>
      <c r="L124" s="10" t="str">
        <f t="shared" si="3"/>
        <v>6-12 Months</v>
      </c>
      <c r="M124"/>
      <c r="N124"/>
      <c r="Q124"/>
      <c r="R124"/>
      <c r="V124"/>
      <c r="W124"/>
      <c r="X124"/>
    </row>
    <row r="125" spans="2:24" x14ac:dyDescent="0.3">
      <c r="B125" s="10" t="str">
        <f t="shared" ca="1" si="2"/>
        <v>HCP_834227</v>
      </c>
      <c r="C125" s="11" t="s">
        <v>8</v>
      </c>
      <c r="D125" s="12">
        <v>44382</v>
      </c>
      <c r="E125" s="12">
        <v>44824</v>
      </c>
      <c r="F125" s="11">
        <v>59</v>
      </c>
      <c r="G125" s="11">
        <v>6</v>
      </c>
      <c r="H125" s="11">
        <v>7</v>
      </c>
      <c r="I125" s="11" t="s">
        <v>9</v>
      </c>
      <c r="J125" s="13" t="s">
        <v>10</v>
      </c>
      <c r="K125" s="10">
        <f>Table1[[#This Row],[Date of last Dispense]]-Table1[[#This Row],[Date of 1st Dispense]]</f>
        <v>442</v>
      </c>
      <c r="L125" s="10" t="str">
        <f t="shared" si="3"/>
        <v>12+ Months</v>
      </c>
      <c r="M125"/>
      <c r="N125"/>
      <c r="Q125"/>
      <c r="R125"/>
      <c r="V125"/>
      <c r="W125"/>
      <c r="X125"/>
    </row>
    <row r="126" spans="2:24" x14ac:dyDescent="0.3">
      <c r="B126" s="10" t="str">
        <f t="shared" ca="1" si="2"/>
        <v>HCP_632088</v>
      </c>
      <c r="C126" s="11" t="s">
        <v>8</v>
      </c>
      <c r="D126" s="12">
        <v>44382</v>
      </c>
      <c r="E126" s="12">
        <v>44816</v>
      </c>
      <c r="F126" s="11">
        <v>5</v>
      </c>
      <c r="G126" s="11">
        <v>29</v>
      </c>
      <c r="H126" s="11">
        <v>14</v>
      </c>
      <c r="I126" s="11" t="s">
        <v>9</v>
      </c>
      <c r="J126" s="13" t="s">
        <v>10</v>
      </c>
      <c r="K126" s="10">
        <f>Table1[[#This Row],[Date of last Dispense]]-Table1[[#This Row],[Date of 1st Dispense]]</f>
        <v>434</v>
      </c>
      <c r="L126" s="10" t="str">
        <f t="shared" si="3"/>
        <v>12+ Months</v>
      </c>
      <c r="M126"/>
      <c r="N126"/>
      <c r="Q126"/>
      <c r="R126"/>
      <c r="V126"/>
      <c r="W126"/>
      <c r="X126"/>
    </row>
    <row r="127" spans="2:24" x14ac:dyDescent="0.3">
      <c r="B127" s="10" t="str">
        <f t="shared" ca="1" si="2"/>
        <v>HCP_852372</v>
      </c>
      <c r="C127" s="11" t="s">
        <v>8</v>
      </c>
      <c r="D127" s="12">
        <v>44376</v>
      </c>
      <c r="E127" s="12">
        <v>44817</v>
      </c>
      <c r="F127" s="11">
        <v>69</v>
      </c>
      <c r="G127" s="11">
        <v>19</v>
      </c>
      <c r="H127" s="11">
        <v>1</v>
      </c>
      <c r="I127" s="11" t="s">
        <v>9</v>
      </c>
      <c r="J127" s="13" t="s">
        <v>10</v>
      </c>
      <c r="K127" s="10">
        <f>Table1[[#This Row],[Date of last Dispense]]-Table1[[#This Row],[Date of 1st Dispense]]</f>
        <v>441</v>
      </c>
      <c r="L127" s="10" t="str">
        <f t="shared" si="3"/>
        <v>12+ Months</v>
      </c>
      <c r="M127"/>
      <c r="N127"/>
      <c r="Q127"/>
      <c r="R127"/>
      <c r="V127"/>
      <c r="W127"/>
      <c r="X127"/>
    </row>
    <row r="128" spans="2:24" x14ac:dyDescent="0.3">
      <c r="B128" s="10" t="str">
        <f t="shared" ca="1" si="2"/>
        <v>HCP_794869</v>
      </c>
      <c r="C128" s="11" t="s">
        <v>20</v>
      </c>
      <c r="D128" s="12">
        <v>44375</v>
      </c>
      <c r="E128" s="12">
        <v>44825</v>
      </c>
      <c r="F128" s="11">
        <v>51</v>
      </c>
      <c r="G128" s="11">
        <v>10</v>
      </c>
      <c r="H128" s="11">
        <v>30</v>
      </c>
      <c r="I128" s="11" t="s">
        <v>15</v>
      </c>
      <c r="J128" s="13" t="s">
        <v>10</v>
      </c>
      <c r="K128" s="10">
        <f>Table1[[#This Row],[Date of last Dispense]]-Table1[[#This Row],[Date of 1st Dispense]]</f>
        <v>450</v>
      </c>
      <c r="L128" s="10" t="str">
        <f t="shared" si="3"/>
        <v>12+ Months</v>
      </c>
      <c r="M128"/>
      <c r="N128"/>
      <c r="Q128"/>
      <c r="R128"/>
      <c r="V128"/>
      <c r="W128"/>
      <c r="X128"/>
    </row>
    <row r="129" spans="2:24" x14ac:dyDescent="0.3">
      <c r="B129" s="10" t="str">
        <f t="shared" ca="1" si="2"/>
        <v>HCP_854092</v>
      </c>
      <c r="C129" s="11" t="s">
        <v>8</v>
      </c>
      <c r="D129" s="12">
        <v>44370</v>
      </c>
      <c r="E129" s="12">
        <v>44824</v>
      </c>
      <c r="F129" s="11">
        <v>1</v>
      </c>
      <c r="G129" s="11">
        <v>31</v>
      </c>
      <c r="H129" s="11">
        <v>18</v>
      </c>
      <c r="I129" s="11" t="s">
        <v>13</v>
      </c>
      <c r="J129" s="13" t="s">
        <v>10</v>
      </c>
      <c r="K129" s="10">
        <f>Table1[[#This Row],[Date of last Dispense]]-Table1[[#This Row],[Date of 1st Dispense]]</f>
        <v>454</v>
      </c>
      <c r="L129" s="10" t="str">
        <f t="shared" si="3"/>
        <v>12+ Months</v>
      </c>
      <c r="M129"/>
      <c r="N129"/>
      <c r="Q129"/>
      <c r="R129"/>
      <c r="V129"/>
      <c r="W129"/>
      <c r="X129"/>
    </row>
    <row r="130" spans="2:24" x14ac:dyDescent="0.3">
      <c r="B130" s="10" t="str">
        <f t="shared" ca="1" si="2"/>
        <v>HCP_931279</v>
      </c>
      <c r="C130" s="11" t="s">
        <v>8</v>
      </c>
      <c r="D130" s="12">
        <v>44368</v>
      </c>
      <c r="E130" s="12">
        <v>44824</v>
      </c>
      <c r="F130" s="11">
        <v>30</v>
      </c>
      <c r="G130" s="11">
        <v>7</v>
      </c>
      <c r="H130" s="11">
        <v>28</v>
      </c>
      <c r="I130" s="11" t="s">
        <v>19</v>
      </c>
      <c r="J130" s="13" t="s">
        <v>10</v>
      </c>
      <c r="K130" s="10">
        <f>Table1[[#This Row],[Date of last Dispense]]-Table1[[#This Row],[Date of 1st Dispense]]</f>
        <v>456</v>
      </c>
      <c r="L130" s="10" t="str">
        <f t="shared" si="3"/>
        <v>12+ Months</v>
      </c>
      <c r="M130"/>
      <c r="N130"/>
      <c r="Q130"/>
      <c r="R130"/>
      <c r="V130"/>
      <c r="W130"/>
      <c r="X130"/>
    </row>
    <row r="131" spans="2:24" x14ac:dyDescent="0.3">
      <c r="B131" s="10" t="str">
        <f t="shared" ref="B131:B194" ca="1" si="4">"HCP_"&amp;TEXT(RANDBETWEEN(100000,999999),"000000")</f>
        <v>HCP_664469</v>
      </c>
      <c r="C131" s="11" t="s">
        <v>17</v>
      </c>
      <c r="D131" s="12">
        <v>44368</v>
      </c>
      <c r="E131" s="12">
        <v>44368</v>
      </c>
      <c r="F131" s="11">
        <v>66</v>
      </c>
      <c r="G131" s="11">
        <v>5</v>
      </c>
      <c r="H131" s="11">
        <v>20</v>
      </c>
      <c r="I131" s="11" t="s">
        <v>15</v>
      </c>
      <c r="J131" s="13" t="s">
        <v>16</v>
      </c>
      <c r="K131" s="10">
        <f>Table1[[#This Row],[Date of last Dispense]]-Table1[[#This Row],[Date of 1st Dispense]]</f>
        <v>0</v>
      </c>
      <c r="L131" s="10" t="str">
        <f t="shared" ref="L131:L194" si="5">IF(K131&lt;=90, "0-3 Months",IF(K131&lt;=180,"3-6 Months",IF(K131&lt;=365, "6-12 Months", "12+ Months")))</f>
        <v>0-3 Months</v>
      </c>
      <c r="M131"/>
      <c r="N131"/>
      <c r="Q131"/>
      <c r="R131"/>
      <c r="V131"/>
      <c r="W131"/>
      <c r="X131"/>
    </row>
    <row r="132" spans="2:24" x14ac:dyDescent="0.3">
      <c r="B132" s="10" t="str">
        <f t="shared" ca="1" si="4"/>
        <v>HCP_333476</v>
      </c>
      <c r="C132" s="11" t="s">
        <v>8</v>
      </c>
      <c r="D132" s="12">
        <v>43930</v>
      </c>
      <c r="E132" s="12">
        <v>44826</v>
      </c>
      <c r="F132" s="11">
        <v>23</v>
      </c>
      <c r="G132" s="11">
        <v>24</v>
      </c>
      <c r="H132" s="11">
        <v>2</v>
      </c>
      <c r="I132" s="11" t="s">
        <v>13</v>
      </c>
      <c r="J132" s="13" t="s">
        <v>10</v>
      </c>
      <c r="K132" s="10">
        <f>Table1[[#This Row],[Date of last Dispense]]-Table1[[#This Row],[Date of 1st Dispense]]</f>
        <v>896</v>
      </c>
      <c r="L132" s="10" t="str">
        <f t="shared" si="5"/>
        <v>12+ Months</v>
      </c>
      <c r="M132"/>
      <c r="N132"/>
      <c r="Q132"/>
      <c r="R132"/>
      <c r="V132"/>
      <c r="W132"/>
      <c r="X132"/>
    </row>
    <row r="133" spans="2:24" x14ac:dyDescent="0.3">
      <c r="B133" s="10" t="str">
        <f t="shared" ca="1" si="4"/>
        <v>HCP_911477</v>
      </c>
      <c r="C133" s="11" t="s">
        <v>8</v>
      </c>
      <c r="D133" s="12">
        <v>44130</v>
      </c>
      <c r="E133" s="12">
        <v>44824</v>
      </c>
      <c r="F133" s="11">
        <v>67</v>
      </c>
      <c r="G133" s="11">
        <v>4</v>
      </c>
      <c r="H133" s="11">
        <v>29</v>
      </c>
      <c r="I133" s="11" t="s">
        <v>13</v>
      </c>
      <c r="J133" s="13" t="s">
        <v>10</v>
      </c>
      <c r="K133" s="10">
        <f>Table1[[#This Row],[Date of last Dispense]]-Table1[[#This Row],[Date of 1st Dispense]]</f>
        <v>694</v>
      </c>
      <c r="L133" s="10" t="str">
        <f t="shared" si="5"/>
        <v>12+ Months</v>
      </c>
      <c r="M133"/>
      <c r="N133"/>
      <c r="Q133"/>
      <c r="R133"/>
      <c r="V133"/>
      <c r="W133"/>
      <c r="X133"/>
    </row>
    <row r="134" spans="2:24" x14ac:dyDescent="0.3">
      <c r="B134" s="10" t="str">
        <f t="shared" ca="1" si="4"/>
        <v>HCP_831723</v>
      </c>
      <c r="C134" s="11" t="s">
        <v>17</v>
      </c>
      <c r="D134" s="12">
        <v>44363</v>
      </c>
      <c r="E134" s="12">
        <v>44825</v>
      </c>
      <c r="F134" s="11">
        <v>18</v>
      </c>
      <c r="G134" s="11">
        <v>24</v>
      </c>
      <c r="H134" s="11">
        <v>16</v>
      </c>
      <c r="I134" s="11" t="s">
        <v>13</v>
      </c>
      <c r="J134" s="13" t="s">
        <v>10</v>
      </c>
      <c r="K134" s="10">
        <f>Table1[[#This Row],[Date of last Dispense]]-Table1[[#This Row],[Date of 1st Dispense]]</f>
        <v>462</v>
      </c>
      <c r="L134" s="10" t="str">
        <f t="shared" si="5"/>
        <v>12+ Months</v>
      </c>
      <c r="M134"/>
      <c r="N134"/>
      <c r="Q134"/>
      <c r="R134"/>
      <c r="V134"/>
      <c r="W134"/>
      <c r="X134"/>
    </row>
    <row r="135" spans="2:24" x14ac:dyDescent="0.3">
      <c r="B135" s="10" t="str">
        <f t="shared" ca="1" si="4"/>
        <v>HCP_488590</v>
      </c>
      <c r="C135" s="11" t="s">
        <v>17</v>
      </c>
      <c r="D135" s="12">
        <v>44363</v>
      </c>
      <c r="E135" s="12">
        <v>44431</v>
      </c>
      <c r="F135" s="11">
        <v>11</v>
      </c>
      <c r="G135" s="11">
        <v>35</v>
      </c>
      <c r="H135" s="11">
        <v>5</v>
      </c>
      <c r="I135" s="11" t="s">
        <v>19</v>
      </c>
      <c r="J135" s="13" t="s">
        <v>16</v>
      </c>
      <c r="K135" s="10">
        <f>Table1[[#This Row],[Date of last Dispense]]-Table1[[#This Row],[Date of 1st Dispense]]</f>
        <v>68</v>
      </c>
      <c r="L135" s="10" t="str">
        <f t="shared" si="5"/>
        <v>0-3 Months</v>
      </c>
      <c r="M135"/>
      <c r="N135"/>
      <c r="Q135"/>
      <c r="R135"/>
      <c r="V135"/>
      <c r="W135"/>
      <c r="X135"/>
    </row>
    <row r="136" spans="2:24" x14ac:dyDescent="0.3">
      <c r="B136" s="10" t="str">
        <f t="shared" ca="1" si="4"/>
        <v>HCP_178399</v>
      </c>
      <c r="C136" s="11" t="s">
        <v>17</v>
      </c>
      <c r="D136" s="12">
        <v>44361</v>
      </c>
      <c r="E136" s="12">
        <v>44827</v>
      </c>
      <c r="F136" s="11">
        <v>6</v>
      </c>
      <c r="G136" s="11">
        <v>10</v>
      </c>
      <c r="H136" s="11">
        <v>0</v>
      </c>
      <c r="I136" s="11" t="s">
        <v>19</v>
      </c>
      <c r="J136" s="13" t="s">
        <v>10</v>
      </c>
      <c r="K136" s="10">
        <f>Table1[[#This Row],[Date of last Dispense]]-Table1[[#This Row],[Date of 1st Dispense]]</f>
        <v>466</v>
      </c>
      <c r="L136" s="10" t="str">
        <f t="shared" si="5"/>
        <v>12+ Months</v>
      </c>
      <c r="M136"/>
      <c r="N136"/>
      <c r="Q136"/>
      <c r="R136"/>
      <c r="V136"/>
      <c r="W136"/>
      <c r="X136"/>
    </row>
    <row r="137" spans="2:24" x14ac:dyDescent="0.3">
      <c r="B137" s="10" t="str">
        <f t="shared" ca="1" si="4"/>
        <v>HCP_213281</v>
      </c>
      <c r="C137" s="11" t="s">
        <v>8</v>
      </c>
      <c r="D137" s="12">
        <v>44361</v>
      </c>
      <c r="E137" s="12">
        <v>44811</v>
      </c>
      <c r="F137" s="11">
        <v>15</v>
      </c>
      <c r="G137" s="11">
        <v>11</v>
      </c>
      <c r="H137" s="11">
        <v>3</v>
      </c>
      <c r="I137" s="11" t="s">
        <v>9</v>
      </c>
      <c r="J137" s="13" t="s">
        <v>10</v>
      </c>
      <c r="K137" s="10">
        <f>Table1[[#This Row],[Date of last Dispense]]-Table1[[#This Row],[Date of 1st Dispense]]</f>
        <v>450</v>
      </c>
      <c r="L137" s="10" t="str">
        <f t="shared" si="5"/>
        <v>12+ Months</v>
      </c>
      <c r="M137"/>
      <c r="N137"/>
      <c r="Q137"/>
      <c r="R137"/>
      <c r="V137"/>
      <c r="W137"/>
      <c r="X137"/>
    </row>
    <row r="138" spans="2:24" x14ac:dyDescent="0.3">
      <c r="B138" s="10" t="str">
        <f t="shared" ca="1" si="4"/>
        <v>HCP_445262</v>
      </c>
      <c r="C138" s="11" t="s">
        <v>20</v>
      </c>
      <c r="D138" s="12">
        <v>44355</v>
      </c>
      <c r="E138" s="12">
        <v>44823</v>
      </c>
      <c r="F138" s="11">
        <v>10</v>
      </c>
      <c r="G138" s="11">
        <v>17</v>
      </c>
      <c r="H138" s="11">
        <v>18</v>
      </c>
      <c r="I138" s="11" t="s">
        <v>15</v>
      </c>
      <c r="J138" s="13" t="s">
        <v>10</v>
      </c>
      <c r="K138" s="10">
        <f>Table1[[#This Row],[Date of last Dispense]]-Table1[[#This Row],[Date of 1st Dispense]]</f>
        <v>468</v>
      </c>
      <c r="L138" s="10" t="str">
        <f t="shared" si="5"/>
        <v>12+ Months</v>
      </c>
      <c r="M138"/>
      <c r="N138"/>
      <c r="Q138"/>
      <c r="R138"/>
      <c r="V138"/>
      <c r="W138"/>
      <c r="X138"/>
    </row>
    <row r="139" spans="2:24" x14ac:dyDescent="0.3">
      <c r="B139" s="10" t="str">
        <f t="shared" ca="1" si="4"/>
        <v>HCP_461533</v>
      </c>
      <c r="C139" s="11" t="s">
        <v>8</v>
      </c>
      <c r="D139" s="12">
        <v>44355</v>
      </c>
      <c r="E139" s="12">
        <v>44826</v>
      </c>
      <c r="F139" s="11">
        <v>52</v>
      </c>
      <c r="G139" s="11">
        <v>5</v>
      </c>
      <c r="H139" s="11">
        <v>29</v>
      </c>
      <c r="I139" s="11" t="s">
        <v>14</v>
      </c>
      <c r="J139" s="13" t="s">
        <v>10</v>
      </c>
      <c r="K139" s="10">
        <f>Table1[[#This Row],[Date of last Dispense]]-Table1[[#This Row],[Date of 1st Dispense]]</f>
        <v>471</v>
      </c>
      <c r="L139" s="10" t="str">
        <f t="shared" si="5"/>
        <v>12+ Months</v>
      </c>
      <c r="M139"/>
      <c r="N139"/>
      <c r="Q139"/>
      <c r="R139"/>
      <c r="V139"/>
      <c r="W139"/>
      <c r="X139"/>
    </row>
    <row r="140" spans="2:24" x14ac:dyDescent="0.3">
      <c r="B140" s="10" t="str">
        <f t="shared" ca="1" si="4"/>
        <v>HCP_121658</v>
      </c>
      <c r="C140" s="11" t="s">
        <v>17</v>
      </c>
      <c r="D140" s="12">
        <v>44354</v>
      </c>
      <c r="E140" s="12">
        <v>44819</v>
      </c>
      <c r="F140" s="11">
        <v>27</v>
      </c>
      <c r="G140" s="11">
        <v>45</v>
      </c>
      <c r="H140" s="11">
        <v>16</v>
      </c>
      <c r="I140" s="11" t="s">
        <v>9</v>
      </c>
      <c r="J140" s="13" t="s">
        <v>10</v>
      </c>
      <c r="K140" s="10">
        <f>Table1[[#This Row],[Date of last Dispense]]-Table1[[#This Row],[Date of 1st Dispense]]</f>
        <v>465</v>
      </c>
      <c r="L140" s="10" t="str">
        <f t="shared" si="5"/>
        <v>12+ Months</v>
      </c>
      <c r="M140"/>
      <c r="N140"/>
      <c r="Q140"/>
      <c r="R140"/>
      <c r="V140"/>
      <c r="W140"/>
      <c r="X140"/>
    </row>
    <row r="141" spans="2:24" x14ac:dyDescent="0.3">
      <c r="B141" s="10" t="str">
        <f t="shared" ca="1" si="4"/>
        <v>HCP_224296</v>
      </c>
      <c r="C141" s="11" t="s">
        <v>8</v>
      </c>
      <c r="D141" s="12">
        <v>44354</v>
      </c>
      <c r="E141" s="12">
        <v>44797</v>
      </c>
      <c r="F141" s="11">
        <v>1</v>
      </c>
      <c r="G141" s="11">
        <v>37</v>
      </c>
      <c r="H141" s="11">
        <v>7</v>
      </c>
      <c r="I141" s="11" t="s">
        <v>19</v>
      </c>
      <c r="J141" s="13" t="s">
        <v>10</v>
      </c>
      <c r="K141" s="10">
        <f>Table1[[#This Row],[Date of last Dispense]]-Table1[[#This Row],[Date of 1st Dispense]]</f>
        <v>443</v>
      </c>
      <c r="L141" s="10" t="str">
        <f t="shared" si="5"/>
        <v>12+ Months</v>
      </c>
      <c r="M141"/>
      <c r="N141"/>
      <c r="Q141"/>
      <c r="R141"/>
      <c r="V141"/>
      <c r="W141"/>
      <c r="X141"/>
    </row>
    <row r="142" spans="2:24" x14ac:dyDescent="0.3">
      <c r="B142" s="10" t="str">
        <f t="shared" ca="1" si="4"/>
        <v>HCP_549148</v>
      </c>
      <c r="C142" s="11" t="s">
        <v>8</v>
      </c>
      <c r="D142" s="12">
        <v>44354</v>
      </c>
      <c r="E142" s="12">
        <v>44805</v>
      </c>
      <c r="F142" s="11">
        <v>2</v>
      </c>
      <c r="G142" s="11">
        <v>50</v>
      </c>
      <c r="H142" s="11">
        <v>1</v>
      </c>
      <c r="I142" s="11" t="s">
        <v>14</v>
      </c>
      <c r="J142" s="13" t="s">
        <v>10</v>
      </c>
      <c r="K142" s="10">
        <f>Table1[[#This Row],[Date of last Dispense]]-Table1[[#This Row],[Date of 1st Dispense]]</f>
        <v>451</v>
      </c>
      <c r="L142" s="10" t="str">
        <f t="shared" si="5"/>
        <v>12+ Months</v>
      </c>
      <c r="M142"/>
      <c r="N142"/>
      <c r="Q142"/>
      <c r="R142"/>
      <c r="V142"/>
      <c r="W142"/>
      <c r="X142"/>
    </row>
    <row r="143" spans="2:24" x14ac:dyDescent="0.3">
      <c r="B143" s="10" t="str">
        <f t="shared" ca="1" si="4"/>
        <v>HCP_314820</v>
      </c>
      <c r="C143" s="11" t="s">
        <v>17</v>
      </c>
      <c r="D143" s="12">
        <v>44354</v>
      </c>
      <c r="E143" s="12">
        <v>44783</v>
      </c>
      <c r="F143" s="11">
        <v>1</v>
      </c>
      <c r="G143" s="11">
        <v>48</v>
      </c>
      <c r="H143" s="11">
        <v>9</v>
      </c>
      <c r="I143" s="11" t="s">
        <v>13</v>
      </c>
      <c r="J143" s="13" t="s">
        <v>10</v>
      </c>
      <c r="K143" s="10">
        <f>Table1[[#This Row],[Date of last Dispense]]-Table1[[#This Row],[Date of 1st Dispense]]</f>
        <v>429</v>
      </c>
      <c r="L143" s="10" t="str">
        <f t="shared" si="5"/>
        <v>12+ Months</v>
      </c>
      <c r="M143"/>
      <c r="N143"/>
      <c r="Q143"/>
      <c r="R143"/>
      <c r="V143"/>
      <c r="W143"/>
      <c r="X143"/>
    </row>
    <row r="144" spans="2:24" x14ac:dyDescent="0.3">
      <c r="B144" s="10" t="str">
        <f t="shared" ca="1" si="4"/>
        <v>HCP_724232</v>
      </c>
      <c r="C144" s="11" t="s">
        <v>8</v>
      </c>
      <c r="D144" s="12">
        <v>44349</v>
      </c>
      <c r="E144" s="12">
        <v>44503</v>
      </c>
      <c r="F144" s="11">
        <v>5</v>
      </c>
      <c r="G144" s="11">
        <v>24</v>
      </c>
      <c r="H144" s="11">
        <v>9</v>
      </c>
      <c r="I144" s="11" t="s">
        <v>13</v>
      </c>
      <c r="J144" s="13" t="s">
        <v>16</v>
      </c>
      <c r="K144" s="10">
        <f>Table1[[#This Row],[Date of last Dispense]]-Table1[[#This Row],[Date of 1st Dispense]]</f>
        <v>154</v>
      </c>
      <c r="L144" s="10" t="str">
        <f t="shared" si="5"/>
        <v>3-6 Months</v>
      </c>
      <c r="M144"/>
      <c r="N144"/>
      <c r="Q144"/>
      <c r="R144"/>
      <c r="V144"/>
      <c r="W144"/>
      <c r="X144"/>
    </row>
    <row r="145" spans="2:24" x14ac:dyDescent="0.3">
      <c r="B145" s="10" t="str">
        <f t="shared" ca="1" si="4"/>
        <v>HCP_353765</v>
      </c>
      <c r="C145" s="11" t="s">
        <v>12</v>
      </c>
      <c r="D145" s="12">
        <v>44342</v>
      </c>
      <c r="E145" s="12">
        <v>44824</v>
      </c>
      <c r="F145" s="11">
        <v>8</v>
      </c>
      <c r="G145" s="11">
        <v>40</v>
      </c>
      <c r="H145" s="11">
        <v>4</v>
      </c>
      <c r="I145" s="11" t="s">
        <v>9</v>
      </c>
      <c r="J145" s="13" t="s">
        <v>10</v>
      </c>
      <c r="K145" s="10">
        <f>Table1[[#This Row],[Date of last Dispense]]-Table1[[#This Row],[Date of 1st Dispense]]</f>
        <v>482</v>
      </c>
      <c r="L145" s="10" t="str">
        <f t="shared" si="5"/>
        <v>12+ Months</v>
      </c>
      <c r="M145"/>
      <c r="N145"/>
      <c r="Q145"/>
      <c r="R145"/>
      <c r="V145"/>
      <c r="W145"/>
      <c r="X145"/>
    </row>
    <row r="146" spans="2:24" x14ac:dyDescent="0.3">
      <c r="B146" s="10" t="str">
        <f t="shared" ca="1" si="4"/>
        <v>HCP_911248</v>
      </c>
      <c r="C146" s="11" t="s">
        <v>18</v>
      </c>
      <c r="D146" s="12">
        <v>44340</v>
      </c>
      <c r="E146" s="12">
        <v>44817</v>
      </c>
      <c r="F146" s="11">
        <v>25</v>
      </c>
      <c r="G146" s="11">
        <v>48</v>
      </c>
      <c r="H146" s="11">
        <v>25</v>
      </c>
      <c r="I146" s="11" t="s">
        <v>14</v>
      </c>
      <c r="J146" s="13" t="s">
        <v>10</v>
      </c>
      <c r="K146" s="10">
        <f>Table1[[#This Row],[Date of last Dispense]]-Table1[[#This Row],[Date of 1st Dispense]]</f>
        <v>477</v>
      </c>
      <c r="L146" s="10" t="str">
        <f t="shared" si="5"/>
        <v>12+ Months</v>
      </c>
      <c r="M146"/>
      <c r="N146"/>
      <c r="Q146"/>
      <c r="R146"/>
      <c r="V146"/>
      <c r="W146"/>
      <c r="X146"/>
    </row>
    <row r="147" spans="2:24" x14ac:dyDescent="0.3">
      <c r="B147" s="10" t="str">
        <f t="shared" ca="1" si="4"/>
        <v>HCP_171939</v>
      </c>
      <c r="C147" s="11" t="s">
        <v>8</v>
      </c>
      <c r="D147" s="12">
        <v>44336</v>
      </c>
      <c r="E147" s="12">
        <v>44819</v>
      </c>
      <c r="F147" s="11">
        <v>38</v>
      </c>
      <c r="G147" s="11">
        <v>35</v>
      </c>
      <c r="H147" s="11">
        <v>29</v>
      </c>
      <c r="I147" s="11" t="s">
        <v>13</v>
      </c>
      <c r="J147" s="13" t="s">
        <v>10</v>
      </c>
      <c r="K147" s="10">
        <f>Table1[[#This Row],[Date of last Dispense]]-Table1[[#This Row],[Date of 1st Dispense]]</f>
        <v>483</v>
      </c>
      <c r="L147" s="10" t="str">
        <f t="shared" si="5"/>
        <v>12+ Months</v>
      </c>
      <c r="M147"/>
      <c r="N147"/>
      <c r="Q147"/>
      <c r="R147"/>
      <c r="V147"/>
      <c r="W147"/>
      <c r="X147"/>
    </row>
    <row r="148" spans="2:24" x14ac:dyDescent="0.3">
      <c r="B148" s="10" t="str">
        <f t="shared" ca="1" si="4"/>
        <v>HCP_385446</v>
      </c>
      <c r="C148" s="11" t="s">
        <v>8</v>
      </c>
      <c r="D148" s="12">
        <v>44335</v>
      </c>
      <c r="E148" s="12">
        <v>44615</v>
      </c>
      <c r="F148" s="11">
        <v>8</v>
      </c>
      <c r="G148" s="11">
        <v>49</v>
      </c>
      <c r="H148" s="11">
        <v>2</v>
      </c>
      <c r="I148" s="11" t="s">
        <v>15</v>
      </c>
      <c r="J148" s="13" t="s">
        <v>16</v>
      </c>
      <c r="K148" s="10">
        <f>Table1[[#This Row],[Date of last Dispense]]-Table1[[#This Row],[Date of 1st Dispense]]</f>
        <v>280</v>
      </c>
      <c r="L148" s="10" t="str">
        <f t="shared" si="5"/>
        <v>6-12 Months</v>
      </c>
      <c r="M148"/>
      <c r="N148"/>
      <c r="Q148"/>
      <c r="R148"/>
      <c r="V148"/>
      <c r="W148"/>
      <c r="X148"/>
    </row>
    <row r="149" spans="2:24" x14ac:dyDescent="0.3">
      <c r="B149" s="10" t="str">
        <f t="shared" ca="1" si="4"/>
        <v>HCP_809380</v>
      </c>
      <c r="C149" s="11" t="s">
        <v>8</v>
      </c>
      <c r="D149" s="12">
        <v>44334</v>
      </c>
      <c r="E149" s="12">
        <v>44818</v>
      </c>
      <c r="F149" s="11">
        <v>21</v>
      </c>
      <c r="G149" s="11">
        <v>34</v>
      </c>
      <c r="H149" s="11">
        <v>23</v>
      </c>
      <c r="I149" s="11" t="s">
        <v>14</v>
      </c>
      <c r="J149" s="13" t="s">
        <v>10</v>
      </c>
      <c r="K149" s="10">
        <f>Table1[[#This Row],[Date of last Dispense]]-Table1[[#This Row],[Date of 1st Dispense]]</f>
        <v>484</v>
      </c>
      <c r="L149" s="10" t="str">
        <f t="shared" si="5"/>
        <v>12+ Months</v>
      </c>
      <c r="M149"/>
      <c r="N149"/>
      <c r="Q149"/>
      <c r="R149"/>
      <c r="V149"/>
      <c r="W149"/>
      <c r="X149"/>
    </row>
    <row r="150" spans="2:24" x14ac:dyDescent="0.3">
      <c r="B150" s="10" t="str">
        <f t="shared" ca="1" si="4"/>
        <v>HCP_720476</v>
      </c>
      <c r="C150" s="11" t="s">
        <v>8</v>
      </c>
      <c r="D150" s="12">
        <v>44328</v>
      </c>
      <c r="E150" s="12">
        <v>44824</v>
      </c>
      <c r="F150" s="11">
        <v>66</v>
      </c>
      <c r="G150" s="11">
        <v>10</v>
      </c>
      <c r="H150" s="11">
        <v>0</v>
      </c>
      <c r="I150" s="11" t="s">
        <v>13</v>
      </c>
      <c r="J150" s="13" t="s">
        <v>10</v>
      </c>
      <c r="K150" s="10">
        <f>Table1[[#This Row],[Date of last Dispense]]-Table1[[#This Row],[Date of 1st Dispense]]</f>
        <v>496</v>
      </c>
      <c r="L150" s="10" t="str">
        <f t="shared" si="5"/>
        <v>12+ Months</v>
      </c>
      <c r="M150"/>
      <c r="N150"/>
      <c r="Q150"/>
      <c r="R150"/>
      <c r="V150"/>
      <c r="W150"/>
      <c r="X150"/>
    </row>
    <row r="151" spans="2:24" x14ac:dyDescent="0.3">
      <c r="B151" s="10" t="str">
        <f t="shared" ca="1" si="4"/>
        <v>HCP_460455</v>
      </c>
      <c r="C151" s="11" t="s">
        <v>8</v>
      </c>
      <c r="D151" s="12">
        <v>44326</v>
      </c>
      <c r="E151" s="12">
        <v>44455</v>
      </c>
      <c r="F151" s="11">
        <v>50</v>
      </c>
      <c r="G151" s="11">
        <v>10</v>
      </c>
      <c r="H151" s="11">
        <v>10</v>
      </c>
      <c r="I151" s="11" t="s">
        <v>19</v>
      </c>
      <c r="J151" s="13" t="s">
        <v>16</v>
      </c>
      <c r="K151" s="10">
        <f>Table1[[#This Row],[Date of last Dispense]]-Table1[[#This Row],[Date of 1st Dispense]]</f>
        <v>129</v>
      </c>
      <c r="L151" s="10" t="str">
        <f t="shared" si="5"/>
        <v>3-6 Months</v>
      </c>
      <c r="M151"/>
      <c r="N151"/>
      <c r="Q151"/>
      <c r="R151"/>
      <c r="V151"/>
      <c r="W151"/>
      <c r="X151"/>
    </row>
    <row r="152" spans="2:24" x14ac:dyDescent="0.3">
      <c r="B152" s="10" t="str">
        <f t="shared" ca="1" si="4"/>
        <v>HCP_756125</v>
      </c>
      <c r="C152" s="11" t="s">
        <v>8</v>
      </c>
      <c r="D152" s="12">
        <v>44320</v>
      </c>
      <c r="E152" s="12">
        <v>44726</v>
      </c>
      <c r="F152" s="11">
        <v>53</v>
      </c>
      <c r="G152" s="11">
        <v>15</v>
      </c>
      <c r="H152" s="11">
        <v>29</v>
      </c>
      <c r="I152" s="11" t="s">
        <v>15</v>
      </c>
      <c r="J152" s="13" t="s">
        <v>16</v>
      </c>
      <c r="K152" s="10">
        <f>Table1[[#This Row],[Date of last Dispense]]-Table1[[#This Row],[Date of 1st Dispense]]</f>
        <v>406</v>
      </c>
      <c r="L152" s="10" t="str">
        <f t="shared" si="5"/>
        <v>12+ Months</v>
      </c>
      <c r="M152"/>
      <c r="N152"/>
      <c r="Q152"/>
      <c r="R152"/>
      <c r="V152"/>
      <c r="W152"/>
      <c r="X152"/>
    </row>
    <row r="153" spans="2:24" x14ac:dyDescent="0.3">
      <c r="B153" s="10" t="str">
        <f t="shared" ca="1" si="4"/>
        <v>HCP_476689</v>
      </c>
      <c r="C153" s="11" t="s">
        <v>17</v>
      </c>
      <c r="D153" s="12">
        <v>44319</v>
      </c>
      <c r="E153" s="12">
        <v>44619</v>
      </c>
      <c r="F153" s="11">
        <v>14</v>
      </c>
      <c r="G153" s="11">
        <v>50</v>
      </c>
      <c r="H153" s="11">
        <v>20</v>
      </c>
      <c r="I153" s="11" t="s">
        <v>19</v>
      </c>
      <c r="J153" s="13" t="s">
        <v>16</v>
      </c>
      <c r="K153" s="10">
        <f>Table1[[#This Row],[Date of last Dispense]]-Table1[[#This Row],[Date of 1st Dispense]]</f>
        <v>300</v>
      </c>
      <c r="L153" s="10" t="str">
        <f t="shared" si="5"/>
        <v>6-12 Months</v>
      </c>
      <c r="M153"/>
      <c r="N153"/>
      <c r="Q153"/>
      <c r="R153"/>
      <c r="V153"/>
      <c r="W153"/>
      <c r="X153"/>
    </row>
    <row r="154" spans="2:24" x14ac:dyDescent="0.3">
      <c r="B154" s="10" t="str">
        <f t="shared" ca="1" si="4"/>
        <v>HCP_606587</v>
      </c>
      <c r="C154" s="11" t="s">
        <v>17</v>
      </c>
      <c r="D154" s="12">
        <v>44319</v>
      </c>
      <c r="E154" s="12">
        <v>44602</v>
      </c>
      <c r="F154" s="11">
        <v>60</v>
      </c>
      <c r="G154" s="11">
        <v>41</v>
      </c>
      <c r="H154" s="11">
        <v>26</v>
      </c>
      <c r="I154" s="11" t="s">
        <v>9</v>
      </c>
      <c r="J154" s="13" t="s">
        <v>16</v>
      </c>
      <c r="K154" s="10">
        <f>Table1[[#This Row],[Date of last Dispense]]-Table1[[#This Row],[Date of 1st Dispense]]</f>
        <v>283</v>
      </c>
      <c r="L154" s="10" t="str">
        <f t="shared" si="5"/>
        <v>6-12 Months</v>
      </c>
      <c r="M154"/>
      <c r="N154"/>
      <c r="Q154"/>
      <c r="R154"/>
      <c r="V154"/>
      <c r="W154"/>
      <c r="X154"/>
    </row>
    <row r="155" spans="2:24" x14ac:dyDescent="0.3">
      <c r="B155" s="10" t="str">
        <f t="shared" ca="1" si="4"/>
        <v>HCP_366251</v>
      </c>
      <c r="C155" s="11" t="s">
        <v>8</v>
      </c>
      <c r="D155" s="12">
        <v>44315</v>
      </c>
      <c r="E155" s="12">
        <v>44466</v>
      </c>
      <c r="F155" s="11">
        <v>10</v>
      </c>
      <c r="G155" s="11">
        <v>4</v>
      </c>
      <c r="H155" s="11">
        <v>3</v>
      </c>
      <c r="I155" s="11" t="s">
        <v>19</v>
      </c>
      <c r="J155" s="13" t="s">
        <v>16</v>
      </c>
      <c r="K155" s="10">
        <f>Table1[[#This Row],[Date of last Dispense]]-Table1[[#This Row],[Date of 1st Dispense]]</f>
        <v>151</v>
      </c>
      <c r="L155" s="10" t="str">
        <f t="shared" si="5"/>
        <v>3-6 Months</v>
      </c>
      <c r="M155"/>
      <c r="N155"/>
      <c r="Q155"/>
      <c r="R155"/>
      <c r="V155"/>
      <c r="W155"/>
      <c r="X155"/>
    </row>
    <row r="156" spans="2:24" x14ac:dyDescent="0.3">
      <c r="B156" s="10" t="str">
        <f t="shared" ca="1" si="4"/>
        <v>HCP_190481</v>
      </c>
      <c r="C156" s="11" t="s">
        <v>8</v>
      </c>
      <c r="D156" s="12">
        <v>44314</v>
      </c>
      <c r="E156" s="12">
        <v>44816</v>
      </c>
      <c r="F156" s="11">
        <v>38</v>
      </c>
      <c r="G156" s="11">
        <v>39</v>
      </c>
      <c r="H156" s="11">
        <v>18</v>
      </c>
      <c r="I156" s="11" t="s">
        <v>13</v>
      </c>
      <c r="J156" s="13" t="s">
        <v>10</v>
      </c>
      <c r="K156" s="10">
        <f>Table1[[#This Row],[Date of last Dispense]]-Table1[[#This Row],[Date of 1st Dispense]]</f>
        <v>502</v>
      </c>
      <c r="L156" s="10" t="str">
        <f t="shared" si="5"/>
        <v>12+ Months</v>
      </c>
      <c r="M156"/>
      <c r="N156"/>
      <c r="Q156"/>
      <c r="R156"/>
      <c r="V156"/>
      <c r="W156"/>
      <c r="X156"/>
    </row>
    <row r="157" spans="2:24" x14ac:dyDescent="0.3">
      <c r="B157" s="10" t="str">
        <f t="shared" ca="1" si="4"/>
        <v>HCP_359446</v>
      </c>
      <c r="C157" s="11" t="s">
        <v>8</v>
      </c>
      <c r="D157" s="12">
        <v>44314</v>
      </c>
      <c r="E157" s="12">
        <v>44824</v>
      </c>
      <c r="F157" s="11">
        <v>7</v>
      </c>
      <c r="G157" s="11">
        <v>45</v>
      </c>
      <c r="H157" s="11">
        <v>17</v>
      </c>
      <c r="I157" s="11" t="s">
        <v>15</v>
      </c>
      <c r="J157" s="13" t="s">
        <v>10</v>
      </c>
      <c r="K157" s="10">
        <f>Table1[[#This Row],[Date of last Dispense]]-Table1[[#This Row],[Date of 1st Dispense]]</f>
        <v>510</v>
      </c>
      <c r="L157" s="10" t="str">
        <f t="shared" si="5"/>
        <v>12+ Months</v>
      </c>
      <c r="M157"/>
      <c r="N157"/>
      <c r="Q157"/>
      <c r="R157"/>
      <c r="V157"/>
      <c r="W157"/>
      <c r="X157"/>
    </row>
    <row r="158" spans="2:24" x14ac:dyDescent="0.3">
      <c r="B158" s="10" t="str">
        <f t="shared" ca="1" si="4"/>
        <v>HCP_962285</v>
      </c>
      <c r="C158" s="11" t="s">
        <v>8</v>
      </c>
      <c r="D158" s="12">
        <v>44314</v>
      </c>
      <c r="E158" s="12">
        <v>44803</v>
      </c>
      <c r="F158" s="11">
        <v>24</v>
      </c>
      <c r="G158" s="11">
        <v>32</v>
      </c>
      <c r="H158" s="11">
        <v>20</v>
      </c>
      <c r="I158" s="11" t="s">
        <v>15</v>
      </c>
      <c r="J158" s="13" t="s">
        <v>10</v>
      </c>
      <c r="K158" s="10">
        <f>Table1[[#This Row],[Date of last Dispense]]-Table1[[#This Row],[Date of 1st Dispense]]</f>
        <v>489</v>
      </c>
      <c r="L158" s="10" t="str">
        <f t="shared" si="5"/>
        <v>12+ Months</v>
      </c>
      <c r="M158"/>
      <c r="N158"/>
      <c r="Q158"/>
      <c r="R158"/>
      <c r="V158"/>
      <c r="W158"/>
      <c r="X158"/>
    </row>
    <row r="159" spans="2:24" x14ac:dyDescent="0.3">
      <c r="B159" s="10" t="str">
        <f t="shared" ca="1" si="4"/>
        <v>HCP_989531</v>
      </c>
      <c r="C159" s="11" t="s">
        <v>8</v>
      </c>
      <c r="D159" s="12">
        <v>44313</v>
      </c>
      <c r="E159" s="12">
        <v>44827</v>
      </c>
      <c r="F159" s="11">
        <v>56</v>
      </c>
      <c r="G159" s="11">
        <v>27</v>
      </c>
      <c r="H159" s="11">
        <v>2</v>
      </c>
      <c r="I159" s="11" t="s">
        <v>14</v>
      </c>
      <c r="J159" s="13" t="s">
        <v>10</v>
      </c>
      <c r="K159" s="10">
        <f>Table1[[#This Row],[Date of last Dispense]]-Table1[[#This Row],[Date of 1st Dispense]]</f>
        <v>514</v>
      </c>
      <c r="L159" s="10" t="str">
        <f t="shared" si="5"/>
        <v>12+ Months</v>
      </c>
      <c r="M159"/>
      <c r="N159"/>
      <c r="Q159"/>
      <c r="R159"/>
      <c r="V159"/>
      <c r="W159"/>
      <c r="X159"/>
    </row>
    <row r="160" spans="2:24" x14ac:dyDescent="0.3">
      <c r="B160" s="10" t="str">
        <f t="shared" ca="1" si="4"/>
        <v>HCP_721604</v>
      </c>
      <c r="C160" s="11" t="s">
        <v>8</v>
      </c>
      <c r="D160" s="12">
        <v>44312</v>
      </c>
      <c r="E160" s="12">
        <v>44823</v>
      </c>
      <c r="F160" s="11">
        <v>2</v>
      </c>
      <c r="G160" s="11">
        <v>28</v>
      </c>
      <c r="H160" s="11">
        <v>15</v>
      </c>
      <c r="I160" s="11" t="s">
        <v>13</v>
      </c>
      <c r="J160" s="13" t="s">
        <v>10</v>
      </c>
      <c r="K160" s="10">
        <f>Table1[[#This Row],[Date of last Dispense]]-Table1[[#This Row],[Date of 1st Dispense]]</f>
        <v>511</v>
      </c>
      <c r="L160" s="10" t="str">
        <f t="shared" si="5"/>
        <v>12+ Months</v>
      </c>
      <c r="M160"/>
      <c r="N160"/>
      <c r="Q160"/>
      <c r="R160"/>
      <c r="V160"/>
      <c r="W160"/>
      <c r="X160"/>
    </row>
    <row r="161" spans="2:24" x14ac:dyDescent="0.3">
      <c r="B161" s="10" t="str">
        <f t="shared" ca="1" si="4"/>
        <v>HCP_486903</v>
      </c>
      <c r="C161" s="11" t="s">
        <v>12</v>
      </c>
      <c r="D161" s="12">
        <v>44300</v>
      </c>
      <c r="E161" s="12">
        <v>44328</v>
      </c>
      <c r="F161" s="11">
        <v>62</v>
      </c>
      <c r="G161" s="11">
        <v>36</v>
      </c>
      <c r="H161" s="11">
        <v>4</v>
      </c>
      <c r="I161" s="11" t="s">
        <v>15</v>
      </c>
      <c r="J161" s="13" t="s">
        <v>16</v>
      </c>
      <c r="K161" s="10">
        <f>Table1[[#This Row],[Date of last Dispense]]-Table1[[#This Row],[Date of 1st Dispense]]</f>
        <v>28</v>
      </c>
      <c r="L161" s="10" t="str">
        <f t="shared" si="5"/>
        <v>0-3 Months</v>
      </c>
      <c r="M161"/>
      <c r="N161"/>
      <c r="Q161"/>
      <c r="R161"/>
      <c r="V161"/>
      <c r="W161"/>
      <c r="X161"/>
    </row>
    <row r="162" spans="2:24" x14ac:dyDescent="0.3">
      <c r="B162" s="10" t="str">
        <f t="shared" ca="1" si="4"/>
        <v>HCP_214206</v>
      </c>
      <c r="C162" s="11" t="s">
        <v>8</v>
      </c>
      <c r="D162" s="12">
        <v>44299</v>
      </c>
      <c r="E162" s="12">
        <v>44494</v>
      </c>
      <c r="F162" s="11">
        <v>53</v>
      </c>
      <c r="G162" s="11">
        <v>40</v>
      </c>
      <c r="H162" s="11">
        <v>27</v>
      </c>
      <c r="I162" s="11" t="s">
        <v>9</v>
      </c>
      <c r="J162" s="13" t="s">
        <v>16</v>
      </c>
      <c r="K162" s="10">
        <f>Table1[[#This Row],[Date of last Dispense]]-Table1[[#This Row],[Date of 1st Dispense]]</f>
        <v>195</v>
      </c>
      <c r="L162" s="10" t="str">
        <f t="shared" si="5"/>
        <v>6-12 Months</v>
      </c>
      <c r="M162"/>
      <c r="N162"/>
      <c r="Q162"/>
      <c r="R162"/>
      <c r="V162"/>
      <c r="W162"/>
      <c r="X162"/>
    </row>
    <row r="163" spans="2:24" x14ac:dyDescent="0.3">
      <c r="B163" s="10" t="str">
        <f t="shared" ca="1" si="4"/>
        <v>HCP_301262</v>
      </c>
      <c r="C163" s="11" t="s">
        <v>20</v>
      </c>
      <c r="D163" s="12">
        <v>44298</v>
      </c>
      <c r="E163" s="12">
        <v>44298</v>
      </c>
      <c r="F163" s="11">
        <v>26</v>
      </c>
      <c r="G163" s="11">
        <v>40</v>
      </c>
      <c r="H163" s="11">
        <v>3</v>
      </c>
      <c r="I163" s="11" t="s">
        <v>9</v>
      </c>
      <c r="J163" s="13" t="s">
        <v>16</v>
      </c>
      <c r="K163" s="10">
        <f>Table1[[#This Row],[Date of last Dispense]]-Table1[[#This Row],[Date of 1st Dispense]]</f>
        <v>0</v>
      </c>
      <c r="L163" s="10" t="str">
        <f t="shared" si="5"/>
        <v>0-3 Months</v>
      </c>
      <c r="M163"/>
      <c r="N163"/>
      <c r="Q163"/>
      <c r="R163"/>
      <c r="V163"/>
      <c r="W163"/>
      <c r="X163"/>
    </row>
    <row r="164" spans="2:24" x14ac:dyDescent="0.3">
      <c r="B164" s="10" t="str">
        <f t="shared" ca="1" si="4"/>
        <v>HCP_168769</v>
      </c>
      <c r="C164" s="11" t="s">
        <v>18</v>
      </c>
      <c r="D164" s="12">
        <v>44291</v>
      </c>
      <c r="E164" s="12">
        <v>44607</v>
      </c>
      <c r="F164" s="11">
        <v>68</v>
      </c>
      <c r="G164" s="11">
        <v>12</v>
      </c>
      <c r="H164" s="11">
        <v>14</v>
      </c>
      <c r="I164" s="11" t="s">
        <v>15</v>
      </c>
      <c r="J164" s="13" t="s">
        <v>16</v>
      </c>
      <c r="K164" s="10">
        <f>Table1[[#This Row],[Date of last Dispense]]-Table1[[#This Row],[Date of 1st Dispense]]</f>
        <v>316</v>
      </c>
      <c r="L164" s="10" t="str">
        <f t="shared" si="5"/>
        <v>6-12 Months</v>
      </c>
      <c r="M164"/>
      <c r="N164"/>
      <c r="Q164"/>
      <c r="R164"/>
      <c r="V164"/>
      <c r="W164"/>
      <c r="X164"/>
    </row>
    <row r="165" spans="2:24" x14ac:dyDescent="0.3">
      <c r="B165" s="10" t="str">
        <f t="shared" ca="1" si="4"/>
        <v>HCP_490265</v>
      </c>
      <c r="C165" s="11" t="s">
        <v>8</v>
      </c>
      <c r="D165" s="12">
        <v>44291</v>
      </c>
      <c r="E165" s="12">
        <v>44725</v>
      </c>
      <c r="F165" s="11">
        <v>57</v>
      </c>
      <c r="G165" s="11">
        <v>1</v>
      </c>
      <c r="H165" s="11">
        <v>5</v>
      </c>
      <c r="I165" s="11" t="s">
        <v>13</v>
      </c>
      <c r="J165" s="13" t="s">
        <v>16</v>
      </c>
      <c r="K165" s="10">
        <f>Table1[[#This Row],[Date of last Dispense]]-Table1[[#This Row],[Date of 1st Dispense]]</f>
        <v>434</v>
      </c>
      <c r="L165" s="10" t="str">
        <f t="shared" si="5"/>
        <v>12+ Months</v>
      </c>
      <c r="M165"/>
      <c r="N165"/>
      <c r="Q165"/>
      <c r="R165"/>
      <c r="V165"/>
      <c r="W165"/>
      <c r="X165"/>
    </row>
    <row r="166" spans="2:24" x14ac:dyDescent="0.3">
      <c r="B166" s="10" t="str">
        <f t="shared" ca="1" si="4"/>
        <v>HCP_916951</v>
      </c>
      <c r="C166" s="11" t="s">
        <v>8</v>
      </c>
      <c r="D166" s="12">
        <v>44290</v>
      </c>
      <c r="E166" s="12">
        <v>44803</v>
      </c>
      <c r="F166" s="11">
        <v>62</v>
      </c>
      <c r="G166" s="11">
        <v>9</v>
      </c>
      <c r="H166" s="11">
        <v>19</v>
      </c>
      <c r="I166" s="11" t="s">
        <v>13</v>
      </c>
      <c r="J166" s="13" t="s">
        <v>10</v>
      </c>
      <c r="K166" s="10">
        <f>Table1[[#This Row],[Date of last Dispense]]-Table1[[#This Row],[Date of 1st Dispense]]</f>
        <v>513</v>
      </c>
      <c r="L166" s="10" t="str">
        <f t="shared" si="5"/>
        <v>12+ Months</v>
      </c>
      <c r="M166"/>
      <c r="N166"/>
      <c r="Q166"/>
      <c r="R166"/>
      <c r="V166"/>
      <c r="W166"/>
      <c r="X166"/>
    </row>
    <row r="167" spans="2:24" x14ac:dyDescent="0.3">
      <c r="B167" s="10" t="str">
        <f t="shared" ca="1" si="4"/>
        <v>HCP_412706</v>
      </c>
      <c r="C167" s="11" t="s">
        <v>8</v>
      </c>
      <c r="D167" s="12">
        <v>44287</v>
      </c>
      <c r="E167" s="12">
        <v>44287</v>
      </c>
      <c r="F167" s="11">
        <v>48</v>
      </c>
      <c r="G167" s="11">
        <v>50</v>
      </c>
      <c r="H167" s="11">
        <v>0</v>
      </c>
      <c r="I167" s="11" t="s">
        <v>15</v>
      </c>
      <c r="J167" s="13" t="s">
        <v>16</v>
      </c>
      <c r="K167" s="10">
        <f>Table1[[#This Row],[Date of last Dispense]]-Table1[[#This Row],[Date of 1st Dispense]]</f>
        <v>0</v>
      </c>
      <c r="L167" s="10" t="str">
        <f t="shared" si="5"/>
        <v>0-3 Months</v>
      </c>
      <c r="M167"/>
      <c r="N167"/>
      <c r="Q167"/>
      <c r="R167"/>
      <c r="V167"/>
      <c r="W167"/>
      <c r="X167"/>
    </row>
    <row r="168" spans="2:24" x14ac:dyDescent="0.3">
      <c r="B168" s="10" t="str">
        <f t="shared" ca="1" si="4"/>
        <v>HCP_110641</v>
      </c>
      <c r="C168" s="11" t="s">
        <v>8</v>
      </c>
      <c r="D168" s="12">
        <v>44286</v>
      </c>
      <c r="E168" s="12">
        <v>44823</v>
      </c>
      <c r="F168" s="11">
        <v>0</v>
      </c>
      <c r="G168" s="11">
        <v>31</v>
      </c>
      <c r="H168" s="11">
        <v>27</v>
      </c>
      <c r="I168" s="11" t="s">
        <v>13</v>
      </c>
      <c r="J168" s="13" t="s">
        <v>10</v>
      </c>
      <c r="K168" s="10">
        <f>Table1[[#This Row],[Date of last Dispense]]-Table1[[#This Row],[Date of 1st Dispense]]</f>
        <v>537</v>
      </c>
      <c r="L168" s="10" t="str">
        <f t="shared" si="5"/>
        <v>12+ Months</v>
      </c>
      <c r="M168"/>
      <c r="N168"/>
      <c r="Q168"/>
      <c r="R168"/>
      <c r="V168"/>
      <c r="W168"/>
      <c r="X168"/>
    </row>
    <row r="169" spans="2:24" x14ac:dyDescent="0.3">
      <c r="B169" s="10" t="str">
        <f t="shared" ca="1" si="4"/>
        <v>HCP_250240</v>
      </c>
      <c r="C169" s="11" t="s">
        <v>8</v>
      </c>
      <c r="D169" s="12">
        <v>44062</v>
      </c>
      <c r="E169" s="12">
        <v>44826</v>
      </c>
      <c r="F169" s="11">
        <v>13</v>
      </c>
      <c r="G169" s="11">
        <v>30</v>
      </c>
      <c r="H169" s="11">
        <v>10</v>
      </c>
      <c r="I169" s="11" t="s">
        <v>13</v>
      </c>
      <c r="J169" s="13" t="s">
        <v>10</v>
      </c>
      <c r="K169" s="10">
        <f>Table1[[#This Row],[Date of last Dispense]]-Table1[[#This Row],[Date of 1st Dispense]]</f>
        <v>764</v>
      </c>
      <c r="L169" s="10" t="str">
        <f t="shared" si="5"/>
        <v>12+ Months</v>
      </c>
      <c r="M169"/>
      <c r="N169"/>
      <c r="Q169"/>
      <c r="R169"/>
      <c r="V169"/>
      <c r="W169"/>
      <c r="X169"/>
    </row>
    <row r="170" spans="2:24" x14ac:dyDescent="0.3">
      <c r="B170" s="10" t="str">
        <f t="shared" ca="1" si="4"/>
        <v>HCP_579996</v>
      </c>
      <c r="C170" s="11" t="s">
        <v>17</v>
      </c>
      <c r="D170" s="12">
        <v>44284</v>
      </c>
      <c r="E170" s="12">
        <v>44818</v>
      </c>
      <c r="F170" s="11">
        <v>21</v>
      </c>
      <c r="G170" s="11">
        <v>47</v>
      </c>
      <c r="H170" s="11">
        <v>22</v>
      </c>
      <c r="I170" s="11" t="s">
        <v>13</v>
      </c>
      <c r="J170" s="13" t="s">
        <v>10</v>
      </c>
      <c r="K170" s="10">
        <f>Table1[[#This Row],[Date of last Dispense]]-Table1[[#This Row],[Date of 1st Dispense]]</f>
        <v>534</v>
      </c>
      <c r="L170" s="10" t="str">
        <f t="shared" si="5"/>
        <v>12+ Months</v>
      </c>
      <c r="M170"/>
      <c r="N170"/>
      <c r="Q170"/>
      <c r="R170"/>
      <c r="V170"/>
      <c r="W170"/>
      <c r="X170"/>
    </row>
    <row r="171" spans="2:24" x14ac:dyDescent="0.3">
      <c r="B171" s="10" t="str">
        <f t="shared" ca="1" si="4"/>
        <v>HCP_669839</v>
      </c>
      <c r="C171" s="11" t="s">
        <v>20</v>
      </c>
      <c r="D171" s="12">
        <v>44284</v>
      </c>
      <c r="E171" s="12">
        <v>44797</v>
      </c>
      <c r="F171" s="11">
        <v>20</v>
      </c>
      <c r="G171" s="11">
        <v>16</v>
      </c>
      <c r="H171" s="11">
        <v>10</v>
      </c>
      <c r="I171" s="11" t="s">
        <v>9</v>
      </c>
      <c r="J171" s="13" t="s">
        <v>10</v>
      </c>
      <c r="K171" s="10">
        <f>Table1[[#This Row],[Date of last Dispense]]-Table1[[#This Row],[Date of 1st Dispense]]</f>
        <v>513</v>
      </c>
      <c r="L171" s="10" t="str">
        <f t="shared" si="5"/>
        <v>12+ Months</v>
      </c>
      <c r="M171"/>
      <c r="N171"/>
      <c r="Q171"/>
      <c r="R171"/>
      <c r="V171"/>
      <c r="W171"/>
      <c r="X171"/>
    </row>
    <row r="172" spans="2:24" x14ac:dyDescent="0.3">
      <c r="B172" s="10" t="str">
        <f t="shared" ca="1" si="4"/>
        <v>HCP_882449</v>
      </c>
      <c r="C172" s="11" t="s">
        <v>8</v>
      </c>
      <c r="D172" s="12">
        <v>44279</v>
      </c>
      <c r="E172" s="12">
        <v>44825</v>
      </c>
      <c r="F172" s="11">
        <v>53</v>
      </c>
      <c r="G172" s="11">
        <v>0</v>
      </c>
      <c r="H172" s="11">
        <v>17</v>
      </c>
      <c r="I172" s="11" t="s">
        <v>13</v>
      </c>
      <c r="J172" s="13" t="s">
        <v>10</v>
      </c>
      <c r="K172" s="10">
        <f>Table1[[#This Row],[Date of last Dispense]]-Table1[[#This Row],[Date of 1st Dispense]]</f>
        <v>546</v>
      </c>
      <c r="L172" s="10" t="str">
        <f t="shared" si="5"/>
        <v>12+ Months</v>
      </c>
      <c r="M172"/>
      <c r="N172"/>
      <c r="Q172"/>
      <c r="R172"/>
      <c r="V172"/>
      <c r="W172"/>
      <c r="X172"/>
    </row>
    <row r="173" spans="2:24" x14ac:dyDescent="0.3">
      <c r="B173" s="10" t="str">
        <f t="shared" ca="1" si="4"/>
        <v>HCP_545950</v>
      </c>
      <c r="C173" s="11" t="s">
        <v>8</v>
      </c>
      <c r="D173" s="12">
        <v>44277</v>
      </c>
      <c r="E173" s="12">
        <v>44824</v>
      </c>
      <c r="F173" s="11">
        <v>26</v>
      </c>
      <c r="G173" s="11">
        <v>6</v>
      </c>
      <c r="H173" s="11">
        <v>3</v>
      </c>
      <c r="I173" s="11" t="s">
        <v>13</v>
      </c>
      <c r="J173" s="13" t="s">
        <v>10</v>
      </c>
      <c r="K173" s="10">
        <f>Table1[[#This Row],[Date of last Dispense]]-Table1[[#This Row],[Date of 1st Dispense]]</f>
        <v>547</v>
      </c>
      <c r="L173" s="10" t="str">
        <f t="shared" si="5"/>
        <v>12+ Months</v>
      </c>
      <c r="M173"/>
      <c r="N173"/>
      <c r="Q173"/>
      <c r="R173"/>
      <c r="V173"/>
      <c r="W173"/>
      <c r="X173"/>
    </row>
    <row r="174" spans="2:24" x14ac:dyDescent="0.3">
      <c r="B174" s="10" t="str">
        <f t="shared" ca="1" si="4"/>
        <v>HCP_983797</v>
      </c>
      <c r="C174" s="11" t="s">
        <v>17</v>
      </c>
      <c r="D174" s="12">
        <v>44276</v>
      </c>
      <c r="E174" s="12">
        <v>44816</v>
      </c>
      <c r="F174" s="11">
        <v>4</v>
      </c>
      <c r="G174" s="11">
        <v>15</v>
      </c>
      <c r="H174" s="11">
        <v>1</v>
      </c>
      <c r="I174" s="11" t="s">
        <v>13</v>
      </c>
      <c r="J174" s="13" t="s">
        <v>10</v>
      </c>
      <c r="K174" s="10">
        <f>Table1[[#This Row],[Date of last Dispense]]-Table1[[#This Row],[Date of 1st Dispense]]</f>
        <v>540</v>
      </c>
      <c r="L174" s="10" t="str">
        <f t="shared" si="5"/>
        <v>12+ Months</v>
      </c>
      <c r="M174"/>
      <c r="N174"/>
      <c r="Q174"/>
      <c r="R174"/>
      <c r="V174"/>
      <c r="W174"/>
      <c r="X174"/>
    </row>
    <row r="175" spans="2:24" x14ac:dyDescent="0.3">
      <c r="B175" s="10" t="str">
        <f t="shared" ca="1" si="4"/>
        <v>HCP_507295</v>
      </c>
      <c r="C175" s="11" t="s">
        <v>8</v>
      </c>
      <c r="D175" s="12">
        <v>44272</v>
      </c>
      <c r="E175" s="12">
        <v>44819</v>
      </c>
      <c r="F175" s="11">
        <v>3</v>
      </c>
      <c r="G175" s="11">
        <v>15</v>
      </c>
      <c r="H175" s="11">
        <v>10</v>
      </c>
      <c r="I175" s="11" t="s">
        <v>19</v>
      </c>
      <c r="J175" s="13" t="s">
        <v>10</v>
      </c>
      <c r="K175" s="10">
        <f>Table1[[#This Row],[Date of last Dispense]]-Table1[[#This Row],[Date of 1st Dispense]]</f>
        <v>547</v>
      </c>
      <c r="L175" s="10" t="str">
        <f t="shared" si="5"/>
        <v>12+ Months</v>
      </c>
      <c r="M175"/>
      <c r="N175"/>
      <c r="Q175"/>
      <c r="R175"/>
      <c r="V175"/>
      <c r="W175"/>
      <c r="X175"/>
    </row>
    <row r="176" spans="2:24" x14ac:dyDescent="0.3">
      <c r="B176" s="10" t="str">
        <f t="shared" ca="1" si="4"/>
        <v>HCP_357596</v>
      </c>
      <c r="C176" s="11" t="s">
        <v>8</v>
      </c>
      <c r="D176" s="12">
        <v>44272</v>
      </c>
      <c r="E176" s="12">
        <v>44795</v>
      </c>
      <c r="F176" s="11">
        <v>5</v>
      </c>
      <c r="G176" s="11">
        <v>30</v>
      </c>
      <c r="H176" s="11">
        <v>13</v>
      </c>
      <c r="I176" s="11" t="s">
        <v>9</v>
      </c>
      <c r="J176" s="13" t="s">
        <v>10</v>
      </c>
      <c r="K176" s="10">
        <f>Table1[[#This Row],[Date of last Dispense]]-Table1[[#This Row],[Date of 1st Dispense]]</f>
        <v>523</v>
      </c>
      <c r="L176" s="10" t="str">
        <f t="shared" si="5"/>
        <v>12+ Months</v>
      </c>
      <c r="M176"/>
      <c r="N176"/>
      <c r="Q176"/>
      <c r="R176"/>
      <c r="V176"/>
      <c r="W176"/>
      <c r="X176"/>
    </row>
    <row r="177" spans="2:24" x14ac:dyDescent="0.3">
      <c r="B177" s="10" t="str">
        <f t="shared" ca="1" si="4"/>
        <v>HCP_411110</v>
      </c>
      <c r="C177" s="11" t="s">
        <v>17</v>
      </c>
      <c r="D177" s="12">
        <v>44270</v>
      </c>
      <c r="E177" s="12">
        <v>44826</v>
      </c>
      <c r="F177" s="11">
        <v>3</v>
      </c>
      <c r="G177" s="11">
        <v>22</v>
      </c>
      <c r="H177" s="11">
        <v>1</v>
      </c>
      <c r="I177" s="11" t="s">
        <v>15</v>
      </c>
      <c r="J177" s="13" t="s">
        <v>10</v>
      </c>
      <c r="K177" s="10">
        <f>Table1[[#This Row],[Date of last Dispense]]-Table1[[#This Row],[Date of 1st Dispense]]</f>
        <v>556</v>
      </c>
      <c r="L177" s="10" t="str">
        <f t="shared" si="5"/>
        <v>12+ Months</v>
      </c>
      <c r="M177"/>
      <c r="N177"/>
      <c r="Q177"/>
      <c r="R177"/>
      <c r="V177"/>
      <c r="W177"/>
      <c r="X177"/>
    </row>
    <row r="178" spans="2:24" x14ac:dyDescent="0.3">
      <c r="B178" s="10" t="str">
        <f t="shared" ca="1" si="4"/>
        <v>HCP_425520</v>
      </c>
      <c r="C178" s="11" t="s">
        <v>8</v>
      </c>
      <c r="D178" s="12">
        <v>44266</v>
      </c>
      <c r="E178" s="12">
        <v>44804</v>
      </c>
      <c r="F178" s="11">
        <v>44</v>
      </c>
      <c r="G178" s="11">
        <v>45</v>
      </c>
      <c r="H178" s="11">
        <v>29</v>
      </c>
      <c r="I178" s="11" t="s">
        <v>13</v>
      </c>
      <c r="J178" s="13" t="s">
        <v>10</v>
      </c>
      <c r="K178" s="10">
        <f>Table1[[#This Row],[Date of last Dispense]]-Table1[[#This Row],[Date of 1st Dispense]]</f>
        <v>538</v>
      </c>
      <c r="L178" s="10" t="str">
        <f t="shared" si="5"/>
        <v>12+ Months</v>
      </c>
      <c r="M178"/>
      <c r="N178"/>
      <c r="Q178"/>
      <c r="R178"/>
      <c r="V178"/>
      <c r="W178"/>
      <c r="X178"/>
    </row>
    <row r="179" spans="2:24" x14ac:dyDescent="0.3">
      <c r="B179" s="10" t="str">
        <f t="shared" ca="1" si="4"/>
        <v>HCP_479010</v>
      </c>
      <c r="C179" s="11" t="s">
        <v>8</v>
      </c>
      <c r="D179" s="12">
        <v>44265</v>
      </c>
      <c r="E179" s="12">
        <v>44810</v>
      </c>
      <c r="F179" s="11">
        <v>21</v>
      </c>
      <c r="G179" s="11">
        <v>48</v>
      </c>
      <c r="H179" s="11">
        <v>15</v>
      </c>
      <c r="I179" s="11" t="s">
        <v>15</v>
      </c>
      <c r="J179" s="13" t="s">
        <v>10</v>
      </c>
      <c r="K179" s="10">
        <f>Table1[[#This Row],[Date of last Dispense]]-Table1[[#This Row],[Date of 1st Dispense]]</f>
        <v>545</v>
      </c>
      <c r="L179" s="10" t="str">
        <f t="shared" si="5"/>
        <v>12+ Months</v>
      </c>
      <c r="M179"/>
      <c r="N179"/>
      <c r="Q179"/>
      <c r="R179"/>
      <c r="V179"/>
      <c r="W179"/>
      <c r="X179"/>
    </row>
    <row r="180" spans="2:24" x14ac:dyDescent="0.3">
      <c r="B180" s="10" t="str">
        <f t="shared" ca="1" si="4"/>
        <v>HCP_848344</v>
      </c>
      <c r="C180" s="11" t="s">
        <v>18</v>
      </c>
      <c r="D180" s="12">
        <v>44264</v>
      </c>
      <c r="E180" s="12">
        <v>44825</v>
      </c>
      <c r="F180" s="11">
        <v>68</v>
      </c>
      <c r="G180" s="11">
        <v>14</v>
      </c>
      <c r="H180" s="11">
        <v>16</v>
      </c>
      <c r="I180" s="11" t="s">
        <v>15</v>
      </c>
      <c r="J180" s="13" t="s">
        <v>10</v>
      </c>
      <c r="K180" s="10">
        <f>Table1[[#This Row],[Date of last Dispense]]-Table1[[#This Row],[Date of 1st Dispense]]</f>
        <v>561</v>
      </c>
      <c r="L180" s="10" t="str">
        <f t="shared" si="5"/>
        <v>12+ Months</v>
      </c>
      <c r="M180"/>
      <c r="N180"/>
      <c r="Q180"/>
      <c r="R180"/>
      <c r="V180"/>
      <c r="W180"/>
      <c r="X180"/>
    </row>
    <row r="181" spans="2:24" x14ac:dyDescent="0.3">
      <c r="B181" s="10" t="str">
        <f t="shared" ca="1" si="4"/>
        <v>HCP_696869</v>
      </c>
      <c r="C181" s="11" t="s">
        <v>8</v>
      </c>
      <c r="D181" s="12">
        <v>44264</v>
      </c>
      <c r="E181" s="12">
        <v>44823</v>
      </c>
      <c r="F181" s="11">
        <v>45</v>
      </c>
      <c r="G181" s="11">
        <v>48</v>
      </c>
      <c r="H181" s="11">
        <v>0</v>
      </c>
      <c r="I181" s="11" t="s">
        <v>13</v>
      </c>
      <c r="J181" s="13" t="s">
        <v>10</v>
      </c>
      <c r="K181" s="10">
        <f>Table1[[#This Row],[Date of last Dispense]]-Table1[[#This Row],[Date of 1st Dispense]]</f>
        <v>559</v>
      </c>
      <c r="L181" s="10" t="str">
        <f t="shared" si="5"/>
        <v>12+ Months</v>
      </c>
      <c r="M181"/>
      <c r="N181"/>
      <c r="Q181"/>
      <c r="R181"/>
      <c r="V181"/>
      <c r="W181"/>
      <c r="X181"/>
    </row>
    <row r="182" spans="2:24" x14ac:dyDescent="0.3">
      <c r="B182" s="10" t="str">
        <f t="shared" ca="1" si="4"/>
        <v>HCP_667215</v>
      </c>
      <c r="C182" s="11" t="s">
        <v>18</v>
      </c>
      <c r="D182" s="12">
        <v>44264</v>
      </c>
      <c r="E182" s="12">
        <v>44804</v>
      </c>
      <c r="F182" s="11">
        <v>41</v>
      </c>
      <c r="G182" s="11">
        <v>21</v>
      </c>
      <c r="H182" s="11">
        <v>3</v>
      </c>
      <c r="I182" s="11" t="s">
        <v>13</v>
      </c>
      <c r="J182" s="13" t="s">
        <v>10</v>
      </c>
      <c r="K182" s="10">
        <f>Table1[[#This Row],[Date of last Dispense]]-Table1[[#This Row],[Date of 1st Dispense]]</f>
        <v>540</v>
      </c>
      <c r="L182" s="10" t="str">
        <f t="shared" si="5"/>
        <v>12+ Months</v>
      </c>
      <c r="M182"/>
      <c r="N182"/>
      <c r="Q182"/>
      <c r="R182"/>
      <c r="V182"/>
      <c r="W182"/>
      <c r="X182"/>
    </row>
    <row r="183" spans="2:24" x14ac:dyDescent="0.3">
      <c r="B183" s="10" t="str">
        <f t="shared" ca="1" si="4"/>
        <v>HCP_649690</v>
      </c>
      <c r="C183" s="11" t="s">
        <v>8</v>
      </c>
      <c r="D183" s="12">
        <v>44264</v>
      </c>
      <c r="E183" s="12">
        <v>44293</v>
      </c>
      <c r="F183" s="11">
        <v>47</v>
      </c>
      <c r="G183" s="11">
        <v>29</v>
      </c>
      <c r="H183" s="11">
        <v>7</v>
      </c>
      <c r="I183" s="11" t="s">
        <v>9</v>
      </c>
      <c r="J183" s="13" t="s">
        <v>16</v>
      </c>
      <c r="K183" s="10">
        <f>Table1[[#This Row],[Date of last Dispense]]-Table1[[#This Row],[Date of 1st Dispense]]</f>
        <v>29</v>
      </c>
      <c r="L183" s="10" t="str">
        <f t="shared" si="5"/>
        <v>0-3 Months</v>
      </c>
      <c r="M183"/>
      <c r="N183"/>
      <c r="Q183"/>
      <c r="R183"/>
      <c r="V183"/>
      <c r="W183"/>
      <c r="X183"/>
    </row>
    <row r="184" spans="2:24" x14ac:dyDescent="0.3">
      <c r="B184" s="10" t="str">
        <f t="shared" ca="1" si="4"/>
        <v>HCP_672043</v>
      </c>
      <c r="C184" s="11" t="s">
        <v>17</v>
      </c>
      <c r="D184" s="12">
        <v>44263</v>
      </c>
      <c r="E184" s="12">
        <v>44508</v>
      </c>
      <c r="F184" s="11">
        <v>54</v>
      </c>
      <c r="G184" s="11">
        <v>39</v>
      </c>
      <c r="H184" s="11">
        <v>21</v>
      </c>
      <c r="I184" s="11" t="s">
        <v>15</v>
      </c>
      <c r="J184" s="13" t="s">
        <v>16</v>
      </c>
      <c r="K184" s="10">
        <f>Table1[[#This Row],[Date of last Dispense]]-Table1[[#This Row],[Date of 1st Dispense]]</f>
        <v>245</v>
      </c>
      <c r="L184" s="10" t="str">
        <f t="shared" si="5"/>
        <v>6-12 Months</v>
      </c>
      <c r="M184"/>
      <c r="N184"/>
      <c r="Q184"/>
      <c r="R184"/>
      <c r="V184"/>
      <c r="W184"/>
      <c r="X184"/>
    </row>
    <row r="185" spans="2:24" x14ac:dyDescent="0.3">
      <c r="B185" s="10" t="str">
        <f t="shared" ca="1" si="4"/>
        <v>HCP_563485</v>
      </c>
      <c r="C185" s="11" t="s">
        <v>8</v>
      </c>
      <c r="D185" s="12">
        <v>44258</v>
      </c>
      <c r="E185" s="12">
        <v>44469</v>
      </c>
      <c r="F185" s="11">
        <v>45</v>
      </c>
      <c r="G185" s="11">
        <v>17</v>
      </c>
      <c r="H185" s="11">
        <v>9</v>
      </c>
      <c r="I185" s="11" t="s">
        <v>13</v>
      </c>
      <c r="J185" s="13" t="s">
        <v>16</v>
      </c>
      <c r="K185" s="10">
        <f>Table1[[#This Row],[Date of last Dispense]]-Table1[[#This Row],[Date of 1st Dispense]]</f>
        <v>211</v>
      </c>
      <c r="L185" s="10" t="str">
        <f t="shared" si="5"/>
        <v>6-12 Months</v>
      </c>
      <c r="M185"/>
      <c r="N185"/>
      <c r="Q185"/>
      <c r="R185"/>
      <c r="V185"/>
      <c r="W185"/>
      <c r="X185"/>
    </row>
    <row r="186" spans="2:24" x14ac:dyDescent="0.3">
      <c r="B186" s="10" t="str">
        <f t="shared" ca="1" si="4"/>
        <v>HCP_703774</v>
      </c>
      <c r="C186" s="11" t="s">
        <v>17</v>
      </c>
      <c r="D186" s="12">
        <v>44258</v>
      </c>
      <c r="E186" s="12">
        <v>44508</v>
      </c>
      <c r="F186" s="11">
        <v>67</v>
      </c>
      <c r="G186" s="11">
        <v>11</v>
      </c>
      <c r="H186" s="11">
        <v>12</v>
      </c>
      <c r="I186" s="11" t="s">
        <v>15</v>
      </c>
      <c r="J186" s="13" t="s">
        <v>16</v>
      </c>
      <c r="K186" s="10">
        <f>Table1[[#This Row],[Date of last Dispense]]-Table1[[#This Row],[Date of 1st Dispense]]</f>
        <v>250</v>
      </c>
      <c r="L186" s="10" t="str">
        <f t="shared" si="5"/>
        <v>6-12 Months</v>
      </c>
      <c r="M186"/>
      <c r="N186"/>
      <c r="Q186"/>
      <c r="R186"/>
      <c r="V186"/>
      <c r="W186"/>
      <c r="X186"/>
    </row>
    <row r="187" spans="2:24" x14ac:dyDescent="0.3">
      <c r="B187" s="10" t="str">
        <f t="shared" ca="1" si="4"/>
        <v>HCP_920627</v>
      </c>
      <c r="C187" s="11" t="s">
        <v>8</v>
      </c>
      <c r="D187" s="12">
        <v>44257</v>
      </c>
      <c r="E187" s="12">
        <v>44818</v>
      </c>
      <c r="F187" s="11">
        <v>64</v>
      </c>
      <c r="G187" s="11">
        <v>49</v>
      </c>
      <c r="H187" s="11">
        <v>14</v>
      </c>
      <c r="I187" s="11" t="s">
        <v>9</v>
      </c>
      <c r="J187" s="13" t="s">
        <v>10</v>
      </c>
      <c r="K187" s="10">
        <f>Table1[[#This Row],[Date of last Dispense]]-Table1[[#This Row],[Date of 1st Dispense]]</f>
        <v>561</v>
      </c>
      <c r="L187" s="10" t="str">
        <f t="shared" si="5"/>
        <v>12+ Months</v>
      </c>
      <c r="M187"/>
      <c r="N187"/>
      <c r="Q187"/>
      <c r="R187"/>
      <c r="V187"/>
      <c r="W187"/>
      <c r="X187"/>
    </row>
    <row r="188" spans="2:24" x14ac:dyDescent="0.3">
      <c r="B188" s="10" t="str">
        <f t="shared" ca="1" si="4"/>
        <v>HCP_716396</v>
      </c>
      <c r="C188" s="11" t="s">
        <v>17</v>
      </c>
      <c r="D188" s="12">
        <v>44257</v>
      </c>
      <c r="E188" s="12">
        <v>44732</v>
      </c>
      <c r="F188" s="11">
        <v>70</v>
      </c>
      <c r="G188" s="11">
        <v>10</v>
      </c>
      <c r="H188" s="11">
        <v>9</v>
      </c>
      <c r="I188" s="11" t="s">
        <v>13</v>
      </c>
      <c r="J188" s="13" t="s">
        <v>16</v>
      </c>
      <c r="K188" s="10">
        <f>Table1[[#This Row],[Date of last Dispense]]-Table1[[#This Row],[Date of 1st Dispense]]</f>
        <v>475</v>
      </c>
      <c r="L188" s="10" t="str">
        <f t="shared" si="5"/>
        <v>12+ Months</v>
      </c>
      <c r="M188"/>
      <c r="N188"/>
      <c r="Q188"/>
      <c r="R188"/>
      <c r="V188"/>
      <c r="W188"/>
      <c r="X188"/>
    </row>
    <row r="189" spans="2:24" x14ac:dyDescent="0.3">
      <c r="B189" s="10" t="str">
        <f t="shared" ca="1" si="4"/>
        <v>HCP_701677</v>
      </c>
      <c r="C189" s="11" t="s">
        <v>8</v>
      </c>
      <c r="D189" s="12">
        <v>44252</v>
      </c>
      <c r="E189" s="12">
        <v>44825</v>
      </c>
      <c r="F189" s="11">
        <v>70</v>
      </c>
      <c r="G189" s="11">
        <v>8</v>
      </c>
      <c r="H189" s="11">
        <v>21</v>
      </c>
      <c r="I189" s="11" t="s">
        <v>13</v>
      </c>
      <c r="J189" s="13" t="s">
        <v>10</v>
      </c>
      <c r="K189" s="10">
        <f>Table1[[#This Row],[Date of last Dispense]]-Table1[[#This Row],[Date of 1st Dispense]]</f>
        <v>573</v>
      </c>
      <c r="L189" s="10" t="str">
        <f t="shared" si="5"/>
        <v>12+ Months</v>
      </c>
      <c r="M189"/>
      <c r="N189"/>
      <c r="Q189"/>
      <c r="R189"/>
      <c r="V189"/>
      <c r="W189"/>
      <c r="X189"/>
    </row>
    <row r="190" spans="2:24" x14ac:dyDescent="0.3">
      <c r="B190" s="10" t="str">
        <f t="shared" ca="1" si="4"/>
        <v>HCP_692410</v>
      </c>
      <c r="C190" s="11" t="s">
        <v>8</v>
      </c>
      <c r="D190" s="12">
        <v>44252</v>
      </c>
      <c r="E190" s="12">
        <v>44749</v>
      </c>
      <c r="F190" s="11">
        <v>40</v>
      </c>
      <c r="G190" s="11">
        <v>8</v>
      </c>
      <c r="H190" s="11">
        <v>0</v>
      </c>
      <c r="I190" s="11" t="s">
        <v>19</v>
      </c>
      <c r="J190" s="13" t="s">
        <v>10</v>
      </c>
      <c r="K190" s="10">
        <f>Table1[[#This Row],[Date of last Dispense]]-Table1[[#This Row],[Date of 1st Dispense]]</f>
        <v>497</v>
      </c>
      <c r="L190" s="10" t="str">
        <f t="shared" si="5"/>
        <v>12+ Months</v>
      </c>
      <c r="M190"/>
      <c r="N190"/>
      <c r="Q190"/>
      <c r="R190"/>
      <c r="V190"/>
      <c r="W190"/>
      <c r="X190"/>
    </row>
    <row r="191" spans="2:24" x14ac:dyDescent="0.3">
      <c r="B191" s="10" t="str">
        <f t="shared" ca="1" si="4"/>
        <v>HCP_448907</v>
      </c>
      <c r="C191" s="11" t="s">
        <v>23</v>
      </c>
      <c r="D191" s="12">
        <v>44250</v>
      </c>
      <c r="E191" s="12">
        <v>44826</v>
      </c>
      <c r="F191" s="11">
        <v>16</v>
      </c>
      <c r="G191" s="11">
        <v>11</v>
      </c>
      <c r="H191" s="11">
        <v>11</v>
      </c>
      <c r="I191" s="11" t="s">
        <v>13</v>
      </c>
      <c r="J191" s="13" t="s">
        <v>10</v>
      </c>
      <c r="K191" s="10">
        <f>Table1[[#This Row],[Date of last Dispense]]-Table1[[#This Row],[Date of 1st Dispense]]</f>
        <v>576</v>
      </c>
      <c r="L191" s="10" t="str">
        <f t="shared" si="5"/>
        <v>12+ Months</v>
      </c>
      <c r="M191"/>
      <c r="N191"/>
      <c r="Q191"/>
      <c r="R191"/>
      <c r="V191"/>
      <c r="W191"/>
      <c r="X191"/>
    </row>
    <row r="192" spans="2:24" x14ac:dyDescent="0.3">
      <c r="B192" s="10" t="str">
        <f t="shared" ca="1" si="4"/>
        <v>HCP_158550</v>
      </c>
      <c r="C192" s="11" t="s">
        <v>17</v>
      </c>
      <c r="D192" s="12">
        <v>44180</v>
      </c>
      <c r="E192" s="12">
        <v>44825</v>
      </c>
      <c r="F192" s="11">
        <v>55</v>
      </c>
      <c r="G192" s="11">
        <v>9</v>
      </c>
      <c r="H192" s="11">
        <v>0</v>
      </c>
      <c r="I192" s="11" t="s">
        <v>13</v>
      </c>
      <c r="J192" s="13" t="s">
        <v>10</v>
      </c>
      <c r="K192" s="10">
        <f>Table1[[#This Row],[Date of last Dispense]]-Table1[[#This Row],[Date of 1st Dispense]]</f>
        <v>645</v>
      </c>
      <c r="L192" s="10" t="str">
        <f t="shared" si="5"/>
        <v>12+ Months</v>
      </c>
      <c r="M192"/>
      <c r="N192"/>
      <c r="Q192"/>
      <c r="R192"/>
      <c r="V192"/>
      <c r="W192"/>
      <c r="X192"/>
    </row>
    <row r="193" spans="2:24" x14ac:dyDescent="0.3">
      <c r="B193" s="10" t="str">
        <f t="shared" ca="1" si="4"/>
        <v>HCP_799131</v>
      </c>
      <c r="C193" s="11" t="s">
        <v>8</v>
      </c>
      <c r="D193" s="12">
        <v>44019</v>
      </c>
      <c r="E193" s="12">
        <v>44816</v>
      </c>
      <c r="F193" s="11">
        <v>23</v>
      </c>
      <c r="G193" s="11">
        <v>12</v>
      </c>
      <c r="H193" s="11">
        <v>16</v>
      </c>
      <c r="I193" s="11" t="s">
        <v>15</v>
      </c>
      <c r="J193" s="13" t="s">
        <v>10</v>
      </c>
      <c r="K193" s="10">
        <f>Table1[[#This Row],[Date of last Dispense]]-Table1[[#This Row],[Date of 1st Dispense]]</f>
        <v>797</v>
      </c>
      <c r="L193" s="10" t="str">
        <f t="shared" si="5"/>
        <v>12+ Months</v>
      </c>
      <c r="M193"/>
      <c r="N193"/>
      <c r="Q193"/>
      <c r="R193"/>
      <c r="V193"/>
      <c r="W193"/>
      <c r="X193"/>
    </row>
    <row r="194" spans="2:24" x14ac:dyDescent="0.3">
      <c r="B194" s="10" t="str">
        <f t="shared" ca="1" si="4"/>
        <v>HCP_475501</v>
      </c>
      <c r="C194" s="11" t="s">
        <v>20</v>
      </c>
      <c r="D194" s="12">
        <v>44241</v>
      </c>
      <c r="E194" s="12">
        <v>44826</v>
      </c>
      <c r="F194" s="11">
        <v>18</v>
      </c>
      <c r="G194" s="11">
        <v>33</v>
      </c>
      <c r="H194" s="11">
        <v>21</v>
      </c>
      <c r="I194" s="11" t="s">
        <v>19</v>
      </c>
      <c r="J194" s="13" t="s">
        <v>10</v>
      </c>
      <c r="K194" s="10">
        <f>Table1[[#This Row],[Date of last Dispense]]-Table1[[#This Row],[Date of 1st Dispense]]</f>
        <v>585</v>
      </c>
      <c r="L194" s="10" t="str">
        <f t="shared" si="5"/>
        <v>12+ Months</v>
      </c>
      <c r="M194"/>
      <c r="N194"/>
      <c r="Q194"/>
      <c r="R194"/>
      <c r="V194"/>
      <c r="W194"/>
      <c r="X194"/>
    </row>
    <row r="195" spans="2:24" x14ac:dyDescent="0.3">
      <c r="B195" s="10" t="str">
        <f t="shared" ref="B195:B258" ca="1" si="6">"HCP_"&amp;TEXT(RANDBETWEEN(100000,999999),"000000")</f>
        <v>HCP_312576</v>
      </c>
      <c r="C195" s="11" t="s">
        <v>17</v>
      </c>
      <c r="D195" s="12">
        <v>44241</v>
      </c>
      <c r="E195" s="12">
        <v>44734</v>
      </c>
      <c r="F195" s="11">
        <v>33</v>
      </c>
      <c r="G195" s="11">
        <v>46</v>
      </c>
      <c r="H195" s="11">
        <v>26</v>
      </c>
      <c r="I195" s="11" t="s">
        <v>19</v>
      </c>
      <c r="J195" s="13" t="s">
        <v>16</v>
      </c>
      <c r="K195" s="10">
        <f>Table1[[#This Row],[Date of last Dispense]]-Table1[[#This Row],[Date of 1st Dispense]]</f>
        <v>493</v>
      </c>
      <c r="L195" s="10" t="str">
        <f t="shared" ref="L195:L258" si="7">IF(K195&lt;=90, "0-3 Months",IF(K195&lt;=180,"3-6 Months",IF(K195&lt;=365, "6-12 Months", "12+ Months")))</f>
        <v>12+ Months</v>
      </c>
      <c r="M195"/>
      <c r="N195"/>
      <c r="Q195"/>
      <c r="R195"/>
      <c r="V195"/>
      <c r="W195"/>
      <c r="X195"/>
    </row>
    <row r="196" spans="2:24" x14ac:dyDescent="0.3">
      <c r="B196" s="10" t="str">
        <f t="shared" ca="1" si="6"/>
        <v>HCP_402045</v>
      </c>
      <c r="C196" s="11" t="s">
        <v>8</v>
      </c>
      <c r="D196" s="12">
        <v>44241</v>
      </c>
      <c r="E196" s="12">
        <v>44825</v>
      </c>
      <c r="F196" s="11">
        <v>51</v>
      </c>
      <c r="G196" s="11">
        <v>1</v>
      </c>
      <c r="H196" s="11">
        <v>11</v>
      </c>
      <c r="I196" s="11" t="s">
        <v>14</v>
      </c>
      <c r="J196" s="13" t="s">
        <v>10</v>
      </c>
      <c r="K196" s="10">
        <f>Table1[[#This Row],[Date of last Dispense]]-Table1[[#This Row],[Date of 1st Dispense]]</f>
        <v>584</v>
      </c>
      <c r="L196" s="10" t="str">
        <f t="shared" si="7"/>
        <v>12+ Months</v>
      </c>
      <c r="M196"/>
      <c r="N196"/>
      <c r="Q196"/>
      <c r="R196"/>
      <c r="V196"/>
      <c r="W196"/>
      <c r="X196"/>
    </row>
    <row r="197" spans="2:24" x14ac:dyDescent="0.3">
      <c r="B197" s="10" t="str">
        <f t="shared" ca="1" si="6"/>
        <v>HCP_932664</v>
      </c>
      <c r="C197" s="11" t="s">
        <v>17</v>
      </c>
      <c r="D197" s="12">
        <v>44237</v>
      </c>
      <c r="E197" s="12">
        <v>44802</v>
      </c>
      <c r="F197" s="11">
        <v>16</v>
      </c>
      <c r="G197" s="11">
        <v>14</v>
      </c>
      <c r="H197" s="11">
        <v>4</v>
      </c>
      <c r="I197" s="11" t="s">
        <v>15</v>
      </c>
      <c r="J197" s="13" t="s">
        <v>10</v>
      </c>
      <c r="K197" s="10">
        <f>Table1[[#This Row],[Date of last Dispense]]-Table1[[#This Row],[Date of 1st Dispense]]</f>
        <v>565</v>
      </c>
      <c r="L197" s="10" t="str">
        <f t="shared" si="7"/>
        <v>12+ Months</v>
      </c>
      <c r="M197"/>
      <c r="N197"/>
      <c r="Q197"/>
      <c r="R197"/>
      <c r="V197"/>
      <c r="W197"/>
      <c r="X197"/>
    </row>
    <row r="198" spans="2:24" x14ac:dyDescent="0.3">
      <c r="B198" s="10" t="str">
        <f t="shared" ca="1" si="6"/>
        <v>HCP_640630</v>
      </c>
      <c r="C198" s="11" t="s">
        <v>8</v>
      </c>
      <c r="D198" s="12">
        <v>44363</v>
      </c>
      <c r="E198" s="12">
        <v>44825</v>
      </c>
      <c r="F198" s="11">
        <v>25</v>
      </c>
      <c r="G198" s="11">
        <v>2</v>
      </c>
      <c r="H198" s="11">
        <v>2</v>
      </c>
      <c r="I198" s="11" t="s">
        <v>15</v>
      </c>
      <c r="J198" s="13" t="s">
        <v>10</v>
      </c>
      <c r="K198" s="10">
        <f>Table1[[#This Row],[Date of last Dispense]]-Table1[[#This Row],[Date of 1st Dispense]]</f>
        <v>462</v>
      </c>
      <c r="L198" s="10" t="str">
        <f t="shared" si="7"/>
        <v>12+ Months</v>
      </c>
      <c r="M198"/>
      <c r="N198"/>
      <c r="Q198"/>
      <c r="R198"/>
      <c r="V198"/>
      <c r="W198"/>
      <c r="X198"/>
    </row>
    <row r="199" spans="2:24" x14ac:dyDescent="0.3">
      <c r="B199" s="10" t="str">
        <f t="shared" ca="1" si="6"/>
        <v>HCP_240635</v>
      </c>
      <c r="C199" s="11" t="s">
        <v>8</v>
      </c>
      <c r="D199" s="12">
        <v>44236</v>
      </c>
      <c r="E199" s="12">
        <v>44823</v>
      </c>
      <c r="F199" s="11">
        <v>70</v>
      </c>
      <c r="G199" s="11">
        <v>9</v>
      </c>
      <c r="H199" s="11">
        <v>30</v>
      </c>
      <c r="I199" s="11" t="s">
        <v>14</v>
      </c>
      <c r="J199" s="13" t="s">
        <v>10</v>
      </c>
      <c r="K199" s="10">
        <f>Table1[[#This Row],[Date of last Dispense]]-Table1[[#This Row],[Date of 1st Dispense]]</f>
        <v>587</v>
      </c>
      <c r="L199" s="10" t="str">
        <f t="shared" si="7"/>
        <v>12+ Months</v>
      </c>
      <c r="M199"/>
      <c r="N199"/>
      <c r="Q199"/>
      <c r="R199"/>
      <c r="V199"/>
      <c r="W199"/>
      <c r="X199"/>
    </row>
    <row r="200" spans="2:24" x14ac:dyDescent="0.3">
      <c r="B200" s="10" t="str">
        <f t="shared" ca="1" si="6"/>
        <v>HCP_520064</v>
      </c>
      <c r="C200" s="11" t="s">
        <v>8</v>
      </c>
      <c r="D200" s="12">
        <v>44235</v>
      </c>
      <c r="E200" s="12">
        <v>44826</v>
      </c>
      <c r="F200" s="11">
        <v>5</v>
      </c>
      <c r="G200" s="11">
        <v>50</v>
      </c>
      <c r="H200" s="11">
        <v>3</v>
      </c>
      <c r="I200" s="11" t="s">
        <v>14</v>
      </c>
      <c r="J200" s="13" t="s">
        <v>10</v>
      </c>
      <c r="K200" s="10">
        <f>Table1[[#This Row],[Date of last Dispense]]-Table1[[#This Row],[Date of 1st Dispense]]</f>
        <v>591</v>
      </c>
      <c r="L200" s="10" t="str">
        <f t="shared" si="7"/>
        <v>12+ Months</v>
      </c>
      <c r="M200"/>
      <c r="N200"/>
      <c r="Q200"/>
      <c r="R200"/>
      <c r="V200"/>
      <c r="W200"/>
      <c r="X200"/>
    </row>
    <row r="201" spans="2:24" x14ac:dyDescent="0.3">
      <c r="B201" s="10" t="str">
        <f t="shared" ca="1" si="6"/>
        <v>HCP_876866</v>
      </c>
      <c r="C201" s="11" t="s">
        <v>17</v>
      </c>
      <c r="D201" s="12">
        <v>44235</v>
      </c>
      <c r="E201" s="12">
        <v>44820</v>
      </c>
      <c r="F201" s="11">
        <v>24</v>
      </c>
      <c r="G201" s="11">
        <v>25</v>
      </c>
      <c r="H201" s="11">
        <v>26</v>
      </c>
      <c r="I201" s="11" t="s">
        <v>13</v>
      </c>
      <c r="J201" s="13" t="s">
        <v>10</v>
      </c>
      <c r="K201" s="10">
        <f>Table1[[#This Row],[Date of last Dispense]]-Table1[[#This Row],[Date of 1st Dispense]]</f>
        <v>585</v>
      </c>
      <c r="L201" s="10" t="str">
        <f t="shared" si="7"/>
        <v>12+ Months</v>
      </c>
      <c r="M201"/>
      <c r="N201"/>
      <c r="Q201"/>
      <c r="R201"/>
      <c r="V201"/>
      <c r="W201"/>
      <c r="X201"/>
    </row>
    <row r="202" spans="2:24" x14ac:dyDescent="0.3">
      <c r="B202" s="10" t="str">
        <f t="shared" ca="1" si="6"/>
        <v>HCP_574013</v>
      </c>
      <c r="C202" s="11" t="s">
        <v>17</v>
      </c>
      <c r="D202" s="12">
        <v>44235</v>
      </c>
      <c r="E202" s="12">
        <v>44827</v>
      </c>
      <c r="F202" s="11">
        <v>67</v>
      </c>
      <c r="G202" s="11">
        <v>28</v>
      </c>
      <c r="H202" s="11">
        <v>0</v>
      </c>
      <c r="I202" s="11" t="s">
        <v>19</v>
      </c>
      <c r="J202" s="13" t="s">
        <v>10</v>
      </c>
      <c r="K202" s="10">
        <f>Table1[[#This Row],[Date of last Dispense]]-Table1[[#This Row],[Date of 1st Dispense]]</f>
        <v>592</v>
      </c>
      <c r="L202" s="10" t="str">
        <f t="shared" si="7"/>
        <v>12+ Months</v>
      </c>
      <c r="M202"/>
      <c r="N202"/>
      <c r="Q202"/>
      <c r="R202"/>
      <c r="V202"/>
      <c r="W202"/>
      <c r="X202"/>
    </row>
    <row r="203" spans="2:24" x14ac:dyDescent="0.3">
      <c r="B203" s="10" t="str">
        <f t="shared" ca="1" si="6"/>
        <v>HCP_267591</v>
      </c>
      <c r="C203" s="11" t="s">
        <v>26</v>
      </c>
      <c r="D203" s="12">
        <v>44235</v>
      </c>
      <c r="E203" s="12">
        <v>44522</v>
      </c>
      <c r="F203" s="11">
        <v>1</v>
      </c>
      <c r="G203" s="11">
        <v>48</v>
      </c>
      <c r="H203" s="11">
        <v>23</v>
      </c>
      <c r="I203" s="11" t="s">
        <v>9</v>
      </c>
      <c r="J203" s="13" t="s">
        <v>16</v>
      </c>
      <c r="K203" s="10">
        <f>Table1[[#This Row],[Date of last Dispense]]-Table1[[#This Row],[Date of 1st Dispense]]</f>
        <v>287</v>
      </c>
      <c r="L203" s="10" t="str">
        <f t="shared" si="7"/>
        <v>6-12 Months</v>
      </c>
      <c r="M203"/>
      <c r="N203"/>
      <c r="Q203"/>
      <c r="R203"/>
      <c r="V203"/>
      <c r="W203"/>
      <c r="X203"/>
    </row>
    <row r="204" spans="2:24" x14ac:dyDescent="0.3">
      <c r="B204" s="10" t="str">
        <f t="shared" ca="1" si="6"/>
        <v>HCP_871799</v>
      </c>
      <c r="C204" s="11" t="s">
        <v>8</v>
      </c>
      <c r="D204" s="12">
        <v>44231</v>
      </c>
      <c r="E204" s="12">
        <v>44824</v>
      </c>
      <c r="F204" s="11">
        <v>0</v>
      </c>
      <c r="G204" s="11">
        <v>48</v>
      </c>
      <c r="H204" s="11">
        <v>20</v>
      </c>
      <c r="I204" s="11" t="s">
        <v>13</v>
      </c>
      <c r="J204" s="13" t="s">
        <v>10</v>
      </c>
      <c r="K204" s="10">
        <f>Table1[[#This Row],[Date of last Dispense]]-Table1[[#This Row],[Date of 1st Dispense]]</f>
        <v>593</v>
      </c>
      <c r="L204" s="10" t="str">
        <f t="shared" si="7"/>
        <v>12+ Months</v>
      </c>
      <c r="M204"/>
      <c r="N204"/>
      <c r="Q204"/>
      <c r="R204"/>
      <c r="V204"/>
      <c r="W204"/>
      <c r="X204"/>
    </row>
    <row r="205" spans="2:24" x14ac:dyDescent="0.3">
      <c r="B205" s="10" t="str">
        <f t="shared" ca="1" si="6"/>
        <v>HCP_739777</v>
      </c>
      <c r="C205" s="11" t="s">
        <v>24</v>
      </c>
      <c r="D205" s="12">
        <v>44228</v>
      </c>
      <c r="E205" s="12">
        <v>44816</v>
      </c>
      <c r="F205" s="11">
        <v>69</v>
      </c>
      <c r="G205" s="11">
        <v>32</v>
      </c>
      <c r="H205" s="11">
        <v>18</v>
      </c>
      <c r="I205" s="11" t="s">
        <v>13</v>
      </c>
      <c r="J205" s="13" t="s">
        <v>10</v>
      </c>
      <c r="K205" s="10">
        <f>Table1[[#This Row],[Date of last Dispense]]-Table1[[#This Row],[Date of 1st Dispense]]</f>
        <v>588</v>
      </c>
      <c r="L205" s="10" t="str">
        <f t="shared" si="7"/>
        <v>12+ Months</v>
      </c>
      <c r="M205"/>
      <c r="N205"/>
      <c r="Q205"/>
      <c r="R205"/>
      <c r="V205"/>
      <c r="W205"/>
      <c r="X205"/>
    </row>
    <row r="206" spans="2:24" x14ac:dyDescent="0.3">
      <c r="B206" s="10" t="str">
        <f t="shared" ca="1" si="6"/>
        <v>HCP_668807</v>
      </c>
      <c r="C206" s="11" t="s">
        <v>17</v>
      </c>
      <c r="D206" s="12">
        <v>44224</v>
      </c>
      <c r="E206" s="12">
        <v>44257</v>
      </c>
      <c r="F206" s="11">
        <v>18</v>
      </c>
      <c r="G206" s="11">
        <v>34</v>
      </c>
      <c r="H206" s="11">
        <v>27</v>
      </c>
      <c r="I206" s="11" t="s">
        <v>9</v>
      </c>
      <c r="J206" s="13" t="s">
        <v>16</v>
      </c>
      <c r="K206" s="10">
        <f>Table1[[#This Row],[Date of last Dispense]]-Table1[[#This Row],[Date of 1st Dispense]]</f>
        <v>33</v>
      </c>
      <c r="L206" s="10" t="str">
        <f t="shared" si="7"/>
        <v>0-3 Months</v>
      </c>
      <c r="M206"/>
      <c r="N206"/>
      <c r="Q206"/>
      <c r="R206"/>
      <c r="V206"/>
      <c r="W206"/>
      <c r="X206"/>
    </row>
    <row r="207" spans="2:24" x14ac:dyDescent="0.3">
      <c r="B207" s="10" t="str">
        <f t="shared" ca="1" si="6"/>
        <v>HCP_728075</v>
      </c>
      <c r="C207" s="11" t="s">
        <v>8</v>
      </c>
      <c r="D207" s="12">
        <v>44223</v>
      </c>
      <c r="E207" s="12">
        <v>44824</v>
      </c>
      <c r="F207" s="11">
        <v>17</v>
      </c>
      <c r="G207" s="11">
        <v>1</v>
      </c>
      <c r="H207" s="11">
        <v>17</v>
      </c>
      <c r="I207" s="11" t="s">
        <v>19</v>
      </c>
      <c r="J207" s="13" t="s">
        <v>10</v>
      </c>
      <c r="K207" s="10">
        <f>Table1[[#This Row],[Date of last Dispense]]-Table1[[#This Row],[Date of 1st Dispense]]</f>
        <v>601</v>
      </c>
      <c r="L207" s="10" t="str">
        <f t="shared" si="7"/>
        <v>12+ Months</v>
      </c>
      <c r="M207"/>
      <c r="N207"/>
      <c r="Q207"/>
      <c r="R207"/>
      <c r="V207"/>
      <c r="W207"/>
      <c r="X207"/>
    </row>
    <row r="208" spans="2:24" x14ac:dyDescent="0.3">
      <c r="B208" s="10" t="str">
        <f t="shared" ca="1" si="6"/>
        <v>HCP_553590</v>
      </c>
      <c r="C208" s="11" t="s">
        <v>17</v>
      </c>
      <c r="D208" s="12">
        <v>44222</v>
      </c>
      <c r="E208" s="12">
        <v>44777</v>
      </c>
      <c r="F208" s="11">
        <v>16</v>
      </c>
      <c r="G208" s="11">
        <v>42</v>
      </c>
      <c r="H208" s="11">
        <v>1</v>
      </c>
      <c r="I208" s="11" t="s">
        <v>15</v>
      </c>
      <c r="J208" s="13" t="s">
        <v>10</v>
      </c>
      <c r="K208" s="10">
        <f>Table1[[#This Row],[Date of last Dispense]]-Table1[[#This Row],[Date of 1st Dispense]]</f>
        <v>555</v>
      </c>
      <c r="L208" s="10" t="str">
        <f t="shared" si="7"/>
        <v>12+ Months</v>
      </c>
      <c r="M208"/>
      <c r="N208"/>
      <c r="Q208"/>
      <c r="R208"/>
      <c r="V208"/>
      <c r="W208"/>
      <c r="X208"/>
    </row>
    <row r="209" spans="2:24" x14ac:dyDescent="0.3">
      <c r="B209" s="10" t="str">
        <f t="shared" ca="1" si="6"/>
        <v>HCP_975180</v>
      </c>
      <c r="C209" s="11" t="s">
        <v>8</v>
      </c>
      <c r="D209" s="12">
        <v>44221</v>
      </c>
      <c r="E209" s="12">
        <v>44826</v>
      </c>
      <c r="F209" s="11">
        <v>41</v>
      </c>
      <c r="G209" s="11">
        <v>47</v>
      </c>
      <c r="H209" s="11">
        <v>8</v>
      </c>
      <c r="I209" s="11" t="s">
        <v>14</v>
      </c>
      <c r="J209" s="13" t="s">
        <v>10</v>
      </c>
      <c r="K209" s="10">
        <f>Table1[[#This Row],[Date of last Dispense]]-Table1[[#This Row],[Date of 1st Dispense]]</f>
        <v>605</v>
      </c>
      <c r="L209" s="10" t="str">
        <f t="shared" si="7"/>
        <v>12+ Months</v>
      </c>
      <c r="M209"/>
      <c r="N209"/>
      <c r="Q209"/>
      <c r="R209"/>
      <c r="V209"/>
      <c r="W209"/>
      <c r="X209"/>
    </row>
    <row r="210" spans="2:24" x14ac:dyDescent="0.3">
      <c r="B210" s="10" t="str">
        <f t="shared" ca="1" si="6"/>
        <v>HCP_711849</v>
      </c>
      <c r="C210" s="11" t="s">
        <v>20</v>
      </c>
      <c r="D210" s="12">
        <v>44221</v>
      </c>
      <c r="E210" s="12">
        <v>44823</v>
      </c>
      <c r="F210" s="11">
        <v>56</v>
      </c>
      <c r="G210" s="11">
        <v>20</v>
      </c>
      <c r="H210" s="11">
        <v>11</v>
      </c>
      <c r="I210" s="11" t="s">
        <v>13</v>
      </c>
      <c r="J210" s="13" t="s">
        <v>10</v>
      </c>
      <c r="K210" s="10">
        <f>Table1[[#This Row],[Date of last Dispense]]-Table1[[#This Row],[Date of 1st Dispense]]</f>
        <v>602</v>
      </c>
      <c r="L210" s="10" t="str">
        <f t="shared" si="7"/>
        <v>12+ Months</v>
      </c>
      <c r="M210"/>
      <c r="N210"/>
      <c r="Q210"/>
      <c r="R210"/>
      <c r="V210"/>
      <c r="W210"/>
      <c r="X210"/>
    </row>
    <row r="211" spans="2:24" x14ac:dyDescent="0.3">
      <c r="B211" s="10" t="str">
        <f t="shared" ca="1" si="6"/>
        <v>HCP_530966</v>
      </c>
      <c r="C211" s="11" t="s">
        <v>8</v>
      </c>
      <c r="D211" s="12">
        <v>44221</v>
      </c>
      <c r="E211" s="12">
        <v>44825</v>
      </c>
      <c r="F211" s="11">
        <v>13</v>
      </c>
      <c r="G211" s="11">
        <v>4</v>
      </c>
      <c r="H211" s="11">
        <v>0</v>
      </c>
      <c r="I211" s="11" t="s">
        <v>19</v>
      </c>
      <c r="J211" s="13" t="s">
        <v>10</v>
      </c>
      <c r="K211" s="10">
        <f>Table1[[#This Row],[Date of last Dispense]]-Table1[[#This Row],[Date of 1st Dispense]]</f>
        <v>604</v>
      </c>
      <c r="L211" s="10" t="str">
        <f t="shared" si="7"/>
        <v>12+ Months</v>
      </c>
      <c r="M211"/>
      <c r="N211"/>
      <c r="Q211"/>
      <c r="R211"/>
      <c r="V211"/>
      <c r="W211"/>
      <c r="X211"/>
    </row>
    <row r="212" spans="2:24" x14ac:dyDescent="0.3">
      <c r="B212" s="10" t="str">
        <f t="shared" ca="1" si="6"/>
        <v>HCP_994399</v>
      </c>
      <c r="C212" s="11" t="s">
        <v>8</v>
      </c>
      <c r="D212" s="12">
        <v>44221</v>
      </c>
      <c r="E212" s="12">
        <v>44819</v>
      </c>
      <c r="F212" s="11">
        <v>45</v>
      </c>
      <c r="G212" s="11">
        <v>20</v>
      </c>
      <c r="H212" s="11">
        <v>19</v>
      </c>
      <c r="I212" s="11" t="s">
        <v>9</v>
      </c>
      <c r="J212" s="13" t="s">
        <v>10</v>
      </c>
      <c r="K212" s="10">
        <f>Table1[[#This Row],[Date of last Dispense]]-Table1[[#This Row],[Date of 1st Dispense]]</f>
        <v>598</v>
      </c>
      <c r="L212" s="10" t="str">
        <f t="shared" si="7"/>
        <v>12+ Months</v>
      </c>
      <c r="M212"/>
      <c r="N212"/>
      <c r="Q212"/>
      <c r="R212"/>
      <c r="V212"/>
      <c r="W212"/>
      <c r="X212"/>
    </row>
    <row r="213" spans="2:24" x14ac:dyDescent="0.3">
      <c r="B213" s="10" t="str">
        <f t="shared" ca="1" si="6"/>
        <v>HCP_459822</v>
      </c>
      <c r="C213" s="11" t="s">
        <v>8</v>
      </c>
      <c r="D213" s="12">
        <v>44221</v>
      </c>
      <c r="E213" s="12">
        <v>44816</v>
      </c>
      <c r="F213" s="11">
        <v>53</v>
      </c>
      <c r="G213" s="11">
        <v>50</v>
      </c>
      <c r="H213" s="11">
        <v>22</v>
      </c>
      <c r="I213" s="11" t="s">
        <v>14</v>
      </c>
      <c r="J213" s="13" t="s">
        <v>10</v>
      </c>
      <c r="K213" s="10">
        <f>Table1[[#This Row],[Date of last Dispense]]-Table1[[#This Row],[Date of 1st Dispense]]</f>
        <v>595</v>
      </c>
      <c r="L213" s="10" t="str">
        <f t="shared" si="7"/>
        <v>12+ Months</v>
      </c>
      <c r="M213"/>
      <c r="N213"/>
      <c r="Q213"/>
      <c r="R213"/>
      <c r="V213"/>
      <c r="W213"/>
      <c r="X213"/>
    </row>
    <row r="214" spans="2:24" x14ac:dyDescent="0.3">
      <c r="B214" s="10" t="str">
        <f t="shared" ca="1" si="6"/>
        <v>HCP_122653</v>
      </c>
      <c r="C214" s="11" t="s">
        <v>8</v>
      </c>
      <c r="D214" s="12">
        <v>44217</v>
      </c>
      <c r="E214" s="12">
        <v>44812</v>
      </c>
      <c r="F214" s="11">
        <v>16</v>
      </c>
      <c r="G214" s="11">
        <v>50</v>
      </c>
      <c r="H214" s="11">
        <v>16</v>
      </c>
      <c r="I214" s="11" t="s">
        <v>13</v>
      </c>
      <c r="J214" s="13" t="s">
        <v>10</v>
      </c>
      <c r="K214" s="10">
        <f>Table1[[#This Row],[Date of last Dispense]]-Table1[[#This Row],[Date of 1st Dispense]]</f>
        <v>595</v>
      </c>
      <c r="L214" s="10" t="str">
        <f t="shared" si="7"/>
        <v>12+ Months</v>
      </c>
      <c r="M214"/>
      <c r="N214"/>
      <c r="Q214"/>
      <c r="R214"/>
      <c r="V214"/>
      <c r="W214"/>
      <c r="X214"/>
    </row>
    <row r="215" spans="2:24" x14ac:dyDescent="0.3">
      <c r="B215" s="10" t="str">
        <f t="shared" ca="1" si="6"/>
        <v>HCP_180061</v>
      </c>
      <c r="C215" s="11" t="s">
        <v>8</v>
      </c>
      <c r="D215" s="12">
        <v>44217</v>
      </c>
      <c r="E215" s="12">
        <v>44816</v>
      </c>
      <c r="F215" s="11">
        <v>20</v>
      </c>
      <c r="G215" s="11">
        <v>41</v>
      </c>
      <c r="H215" s="11">
        <v>24</v>
      </c>
      <c r="I215" s="11" t="s">
        <v>13</v>
      </c>
      <c r="J215" s="13" t="s">
        <v>10</v>
      </c>
      <c r="K215" s="10">
        <f>Table1[[#This Row],[Date of last Dispense]]-Table1[[#This Row],[Date of 1st Dispense]]</f>
        <v>599</v>
      </c>
      <c r="L215" s="10" t="str">
        <f t="shared" si="7"/>
        <v>12+ Months</v>
      </c>
      <c r="M215"/>
      <c r="N215"/>
      <c r="Q215"/>
      <c r="R215"/>
      <c r="V215"/>
      <c r="W215"/>
      <c r="X215"/>
    </row>
    <row r="216" spans="2:24" x14ac:dyDescent="0.3">
      <c r="B216" s="10" t="str">
        <f t="shared" ca="1" si="6"/>
        <v>HCP_335122</v>
      </c>
      <c r="C216" s="11" t="s">
        <v>8</v>
      </c>
      <c r="D216" s="12">
        <v>44216</v>
      </c>
      <c r="E216" s="12">
        <v>44826</v>
      </c>
      <c r="F216" s="11">
        <v>44</v>
      </c>
      <c r="G216" s="11">
        <v>10</v>
      </c>
      <c r="H216" s="11">
        <v>8</v>
      </c>
      <c r="I216" s="11" t="s">
        <v>15</v>
      </c>
      <c r="J216" s="13" t="s">
        <v>10</v>
      </c>
      <c r="K216" s="10">
        <f>Table1[[#This Row],[Date of last Dispense]]-Table1[[#This Row],[Date of 1st Dispense]]</f>
        <v>610</v>
      </c>
      <c r="L216" s="10" t="str">
        <f t="shared" si="7"/>
        <v>12+ Months</v>
      </c>
      <c r="M216"/>
      <c r="N216"/>
      <c r="Q216"/>
      <c r="R216"/>
      <c r="V216"/>
      <c r="W216"/>
      <c r="X216"/>
    </row>
    <row r="217" spans="2:24" x14ac:dyDescent="0.3">
      <c r="B217" s="10" t="str">
        <f t="shared" ca="1" si="6"/>
        <v>HCP_226340</v>
      </c>
      <c r="C217" s="11" t="s">
        <v>8</v>
      </c>
      <c r="D217" s="12">
        <v>44216</v>
      </c>
      <c r="E217" s="12">
        <v>44812</v>
      </c>
      <c r="F217" s="11">
        <v>57</v>
      </c>
      <c r="G217" s="11">
        <v>40</v>
      </c>
      <c r="H217" s="11">
        <v>23</v>
      </c>
      <c r="I217" s="11" t="s">
        <v>14</v>
      </c>
      <c r="J217" s="13" t="s">
        <v>10</v>
      </c>
      <c r="K217" s="10">
        <f>Table1[[#This Row],[Date of last Dispense]]-Table1[[#This Row],[Date of 1st Dispense]]</f>
        <v>596</v>
      </c>
      <c r="L217" s="10" t="str">
        <f t="shared" si="7"/>
        <v>12+ Months</v>
      </c>
      <c r="M217"/>
      <c r="N217"/>
      <c r="Q217"/>
      <c r="R217"/>
      <c r="V217"/>
      <c r="W217"/>
      <c r="X217"/>
    </row>
    <row r="218" spans="2:24" x14ac:dyDescent="0.3">
      <c r="B218" s="10" t="str">
        <f t="shared" ca="1" si="6"/>
        <v>HCP_292065</v>
      </c>
      <c r="C218" s="11" t="s">
        <v>8</v>
      </c>
      <c r="D218" s="12">
        <v>44209</v>
      </c>
      <c r="E218" s="12">
        <v>44824</v>
      </c>
      <c r="F218" s="11">
        <v>50</v>
      </c>
      <c r="G218" s="11">
        <v>39</v>
      </c>
      <c r="H218" s="11">
        <v>6</v>
      </c>
      <c r="I218" s="11" t="s">
        <v>19</v>
      </c>
      <c r="J218" s="13" t="s">
        <v>10</v>
      </c>
      <c r="K218" s="10">
        <f>Table1[[#This Row],[Date of last Dispense]]-Table1[[#This Row],[Date of 1st Dispense]]</f>
        <v>615</v>
      </c>
      <c r="L218" s="10" t="str">
        <f t="shared" si="7"/>
        <v>12+ Months</v>
      </c>
      <c r="M218"/>
      <c r="N218"/>
      <c r="Q218"/>
      <c r="R218"/>
      <c r="V218"/>
      <c r="W218"/>
      <c r="X218"/>
    </row>
    <row r="219" spans="2:24" x14ac:dyDescent="0.3">
      <c r="B219" s="10" t="str">
        <f t="shared" ca="1" si="6"/>
        <v>HCP_397057</v>
      </c>
      <c r="C219" s="11" t="s">
        <v>17</v>
      </c>
      <c r="D219" s="12">
        <v>44209</v>
      </c>
      <c r="E219" s="12">
        <v>44826</v>
      </c>
      <c r="F219" s="11">
        <v>20</v>
      </c>
      <c r="G219" s="11">
        <v>40</v>
      </c>
      <c r="H219" s="11">
        <v>8</v>
      </c>
      <c r="I219" s="11" t="s">
        <v>15</v>
      </c>
      <c r="J219" s="13" t="s">
        <v>10</v>
      </c>
      <c r="K219" s="10">
        <f>Table1[[#This Row],[Date of last Dispense]]-Table1[[#This Row],[Date of 1st Dispense]]</f>
        <v>617</v>
      </c>
      <c r="L219" s="10" t="str">
        <f t="shared" si="7"/>
        <v>12+ Months</v>
      </c>
      <c r="M219"/>
      <c r="N219"/>
      <c r="Q219"/>
      <c r="R219"/>
      <c r="V219"/>
      <c r="W219"/>
      <c r="X219"/>
    </row>
    <row r="220" spans="2:24" x14ac:dyDescent="0.3">
      <c r="B220" s="10" t="str">
        <f t="shared" ca="1" si="6"/>
        <v>HCP_415374</v>
      </c>
      <c r="C220" s="11" t="s">
        <v>8</v>
      </c>
      <c r="D220" s="12">
        <v>44209</v>
      </c>
      <c r="E220" s="12">
        <v>44818</v>
      </c>
      <c r="F220" s="11">
        <v>51</v>
      </c>
      <c r="G220" s="11">
        <v>27</v>
      </c>
      <c r="H220" s="11">
        <v>13</v>
      </c>
      <c r="I220" s="11" t="s">
        <v>13</v>
      </c>
      <c r="J220" s="13" t="s">
        <v>10</v>
      </c>
      <c r="K220" s="10">
        <f>Table1[[#This Row],[Date of last Dispense]]-Table1[[#This Row],[Date of 1st Dispense]]</f>
        <v>609</v>
      </c>
      <c r="L220" s="10" t="str">
        <f t="shared" si="7"/>
        <v>12+ Months</v>
      </c>
      <c r="M220"/>
      <c r="N220"/>
      <c r="Q220"/>
      <c r="R220"/>
      <c r="V220"/>
      <c r="W220"/>
      <c r="X220"/>
    </row>
    <row r="221" spans="2:24" x14ac:dyDescent="0.3">
      <c r="B221" s="10" t="str">
        <f t="shared" ca="1" si="6"/>
        <v>HCP_754716</v>
      </c>
      <c r="C221" s="11" t="s">
        <v>8</v>
      </c>
      <c r="D221" s="12">
        <v>44207</v>
      </c>
      <c r="E221" s="12">
        <v>44727</v>
      </c>
      <c r="F221" s="11">
        <v>65</v>
      </c>
      <c r="G221" s="11">
        <v>23</v>
      </c>
      <c r="H221" s="11">
        <v>16</v>
      </c>
      <c r="I221" s="11" t="s">
        <v>9</v>
      </c>
      <c r="J221" s="13" t="s">
        <v>16</v>
      </c>
      <c r="K221" s="10">
        <f>Table1[[#This Row],[Date of last Dispense]]-Table1[[#This Row],[Date of 1st Dispense]]</f>
        <v>520</v>
      </c>
      <c r="L221" s="10" t="str">
        <f t="shared" si="7"/>
        <v>12+ Months</v>
      </c>
      <c r="M221"/>
      <c r="N221"/>
      <c r="Q221"/>
      <c r="R221"/>
      <c r="V221"/>
      <c r="W221"/>
      <c r="X221"/>
    </row>
    <row r="222" spans="2:24" x14ac:dyDescent="0.3">
      <c r="B222" s="10" t="str">
        <f t="shared" ca="1" si="6"/>
        <v>HCP_109409</v>
      </c>
      <c r="C222" s="11" t="s">
        <v>17</v>
      </c>
      <c r="D222" s="12">
        <v>44207</v>
      </c>
      <c r="E222" s="12">
        <v>44529</v>
      </c>
      <c r="F222" s="11">
        <v>67</v>
      </c>
      <c r="G222" s="11">
        <v>49</v>
      </c>
      <c r="H222" s="11">
        <v>20</v>
      </c>
      <c r="I222" s="11" t="s">
        <v>15</v>
      </c>
      <c r="J222" s="13" t="s">
        <v>16</v>
      </c>
      <c r="K222" s="10">
        <f>Table1[[#This Row],[Date of last Dispense]]-Table1[[#This Row],[Date of 1st Dispense]]</f>
        <v>322</v>
      </c>
      <c r="L222" s="10" t="str">
        <f t="shared" si="7"/>
        <v>6-12 Months</v>
      </c>
      <c r="M222"/>
      <c r="N222"/>
      <c r="Q222"/>
      <c r="R222"/>
      <c r="V222"/>
      <c r="W222"/>
      <c r="X222"/>
    </row>
    <row r="223" spans="2:24" x14ac:dyDescent="0.3">
      <c r="B223" s="10" t="str">
        <f t="shared" ca="1" si="6"/>
        <v>HCP_448872</v>
      </c>
      <c r="C223" s="11" t="s">
        <v>8</v>
      </c>
      <c r="D223" s="12">
        <v>44202</v>
      </c>
      <c r="E223" s="12">
        <v>44522</v>
      </c>
      <c r="F223" s="11">
        <v>44</v>
      </c>
      <c r="G223" s="11">
        <v>15</v>
      </c>
      <c r="H223" s="11">
        <v>20</v>
      </c>
      <c r="I223" s="11" t="s">
        <v>9</v>
      </c>
      <c r="J223" s="13" t="s">
        <v>16</v>
      </c>
      <c r="K223" s="10">
        <f>Table1[[#This Row],[Date of last Dispense]]-Table1[[#This Row],[Date of 1st Dispense]]</f>
        <v>320</v>
      </c>
      <c r="L223" s="10" t="str">
        <f t="shared" si="7"/>
        <v>6-12 Months</v>
      </c>
      <c r="M223"/>
      <c r="N223"/>
      <c r="Q223"/>
      <c r="R223"/>
      <c r="V223"/>
      <c r="W223"/>
      <c r="X223"/>
    </row>
    <row r="224" spans="2:24" x14ac:dyDescent="0.3">
      <c r="B224" s="10" t="str">
        <f t="shared" ca="1" si="6"/>
        <v>HCP_541876</v>
      </c>
      <c r="C224" s="11" t="s">
        <v>8</v>
      </c>
      <c r="D224" s="12">
        <v>44202</v>
      </c>
      <c r="E224" s="12">
        <v>44732</v>
      </c>
      <c r="F224" s="11">
        <v>22</v>
      </c>
      <c r="G224" s="11">
        <v>5</v>
      </c>
      <c r="H224" s="11">
        <v>29</v>
      </c>
      <c r="I224" s="11" t="s">
        <v>14</v>
      </c>
      <c r="J224" s="13" t="s">
        <v>16</v>
      </c>
      <c r="K224" s="10">
        <f>Table1[[#This Row],[Date of last Dispense]]-Table1[[#This Row],[Date of 1st Dispense]]</f>
        <v>530</v>
      </c>
      <c r="L224" s="10" t="str">
        <f t="shared" si="7"/>
        <v>12+ Months</v>
      </c>
      <c r="M224"/>
      <c r="N224"/>
      <c r="Q224"/>
      <c r="R224"/>
      <c r="V224"/>
      <c r="W224"/>
      <c r="X224"/>
    </row>
    <row r="225" spans="2:24" x14ac:dyDescent="0.3">
      <c r="B225" s="10" t="str">
        <f t="shared" ca="1" si="6"/>
        <v>HCP_848450</v>
      </c>
      <c r="C225" s="11" t="s">
        <v>8</v>
      </c>
      <c r="D225" s="12">
        <v>44202</v>
      </c>
      <c r="E225" s="12">
        <v>44658</v>
      </c>
      <c r="F225" s="11">
        <v>33</v>
      </c>
      <c r="G225" s="11">
        <v>18</v>
      </c>
      <c r="H225" s="11">
        <v>21</v>
      </c>
      <c r="I225" s="11" t="s">
        <v>13</v>
      </c>
      <c r="J225" s="13" t="s">
        <v>16</v>
      </c>
      <c r="K225" s="10">
        <f>Table1[[#This Row],[Date of last Dispense]]-Table1[[#This Row],[Date of 1st Dispense]]</f>
        <v>456</v>
      </c>
      <c r="L225" s="10" t="str">
        <f t="shared" si="7"/>
        <v>12+ Months</v>
      </c>
      <c r="M225"/>
      <c r="N225"/>
      <c r="Q225"/>
      <c r="R225"/>
      <c r="V225"/>
      <c r="W225"/>
      <c r="X225"/>
    </row>
    <row r="226" spans="2:24" x14ac:dyDescent="0.3">
      <c r="B226" s="10" t="str">
        <f t="shared" ca="1" si="6"/>
        <v>HCP_925593</v>
      </c>
      <c r="C226" s="11" t="s">
        <v>8</v>
      </c>
      <c r="D226" s="12">
        <v>44194</v>
      </c>
      <c r="E226" s="12">
        <v>44798</v>
      </c>
      <c r="F226" s="11">
        <v>28</v>
      </c>
      <c r="G226" s="11">
        <v>28</v>
      </c>
      <c r="H226" s="11">
        <v>11</v>
      </c>
      <c r="I226" s="11" t="s">
        <v>19</v>
      </c>
      <c r="J226" s="13" t="s">
        <v>10</v>
      </c>
      <c r="K226" s="10">
        <f>Table1[[#This Row],[Date of last Dispense]]-Table1[[#This Row],[Date of 1st Dispense]]</f>
        <v>604</v>
      </c>
      <c r="L226" s="10" t="str">
        <f t="shared" si="7"/>
        <v>12+ Months</v>
      </c>
      <c r="M226"/>
      <c r="N226"/>
      <c r="Q226"/>
      <c r="R226"/>
      <c r="V226"/>
      <c r="W226"/>
      <c r="X226"/>
    </row>
    <row r="227" spans="2:24" x14ac:dyDescent="0.3">
      <c r="B227" s="10" t="str">
        <f t="shared" ca="1" si="6"/>
        <v>HCP_178121</v>
      </c>
      <c r="C227" s="11" t="s">
        <v>8</v>
      </c>
      <c r="D227" s="12">
        <v>44193</v>
      </c>
      <c r="E227" s="12">
        <v>44819</v>
      </c>
      <c r="F227" s="11">
        <v>57</v>
      </c>
      <c r="G227" s="11">
        <v>8</v>
      </c>
      <c r="H227" s="11">
        <v>13</v>
      </c>
      <c r="I227" s="11" t="s">
        <v>9</v>
      </c>
      <c r="J227" s="13" t="s">
        <v>10</v>
      </c>
      <c r="K227" s="10">
        <f>Table1[[#This Row],[Date of last Dispense]]-Table1[[#This Row],[Date of 1st Dispense]]</f>
        <v>626</v>
      </c>
      <c r="L227" s="10" t="str">
        <f t="shared" si="7"/>
        <v>12+ Months</v>
      </c>
      <c r="M227"/>
      <c r="N227"/>
      <c r="Q227"/>
      <c r="R227"/>
      <c r="V227"/>
      <c r="W227"/>
      <c r="X227"/>
    </row>
    <row r="228" spans="2:24" x14ac:dyDescent="0.3">
      <c r="B228" s="10" t="str">
        <f t="shared" ca="1" si="6"/>
        <v>HCP_909062</v>
      </c>
      <c r="C228" s="11" t="s">
        <v>8</v>
      </c>
      <c r="D228" s="12">
        <v>44193</v>
      </c>
      <c r="E228" s="12">
        <v>44823</v>
      </c>
      <c r="F228" s="11">
        <v>28</v>
      </c>
      <c r="G228" s="11">
        <v>23</v>
      </c>
      <c r="H228" s="11">
        <v>29</v>
      </c>
      <c r="I228" s="11" t="s">
        <v>19</v>
      </c>
      <c r="J228" s="13" t="s">
        <v>10</v>
      </c>
      <c r="K228" s="10">
        <f>Table1[[#This Row],[Date of last Dispense]]-Table1[[#This Row],[Date of 1st Dispense]]</f>
        <v>630</v>
      </c>
      <c r="L228" s="10" t="str">
        <f t="shared" si="7"/>
        <v>12+ Months</v>
      </c>
      <c r="M228"/>
      <c r="N228"/>
      <c r="Q228"/>
      <c r="R228"/>
      <c r="V228"/>
      <c r="W228"/>
      <c r="X228"/>
    </row>
    <row r="229" spans="2:24" x14ac:dyDescent="0.3">
      <c r="B229" s="10" t="str">
        <f t="shared" ca="1" si="6"/>
        <v>HCP_330075</v>
      </c>
      <c r="C229" s="11" t="s">
        <v>8</v>
      </c>
      <c r="D229" s="12">
        <v>44193</v>
      </c>
      <c r="E229" s="12">
        <v>44819</v>
      </c>
      <c r="F229" s="11">
        <v>41</v>
      </c>
      <c r="G229" s="11">
        <v>2</v>
      </c>
      <c r="H229" s="11">
        <v>1</v>
      </c>
      <c r="I229" s="11" t="s">
        <v>9</v>
      </c>
      <c r="J229" s="13" t="s">
        <v>10</v>
      </c>
      <c r="K229" s="10">
        <f>Table1[[#This Row],[Date of last Dispense]]-Table1[[#This Row],[Date of 1st Dispense]]</f>
        <v>626</v>
      </c>
      <c r="L229" s="10" t="str">
        <f t="shared" si="7"/>
        <v>12+ Months</v>
      </c>
      <c r="M229"/>
      <c r="N229"/>
      <c r="Q229"/>
      <c r="R229"/>
      <c r="V229"/>
      <c r="W229"/>
      <c r="X229"/>
    </row>
    <row r="230" spans="2:24" x14ac:dyDescent="0.3">
      <c r="B230" s="10" t="str">
        <f t="shared" ca="1" si="6"/>
        <v>HCP_755622</v>
      </c>
      <c r="C230" s="11" t="s">
        <v>8</v>
      </c>
      <c r="D230" s="12">
        <v>44193</v>
      </c>
      <c r="E230" s="12">
        <v>44817</v>
      </c>
      <c r="F230" s="11">
        <v>58</v>
      </c>
      <c r="G230" s="11">
        <v>35</v>
      </c>
      <c r="H230" s="11">
        <v>3</v>
      </c>
      <c r="I230" s="11" t="s">
        <v>19</v>
      </c>
      <c r="J230" s="13" t="s">
        <v>10</v>
      </c>
      <c r="K230" s="10">
        <f>Table1[[#This Row],[Date of last Dispense]]-Table1[[#This Row],[Date of 1st Dispense]]</f>
        <v>624</v>
      </c>
      <c r="L230" s="10" t="str">
        <f t="shared" si="7"/>
        <v>12+ Months</v>
      </c>
      <c r="M230"/>
      <c r="N230"/>
      <c r="Q230"/>
      <c r="R230"/>
      <c r="V230"/>
      <c r="W230"/>
      <c r="X230"/>
    </row>
    <row r="231" spans="2:24" x14ac:dyDescent="0.3">
      <c r="B231" s="10" t="str">
        <f t="shared" ca="1" si="6"/>
        <v>HCP_454074</v>
      </c>
      <c r="C231" s="11" t="s">
        <v>8</v>
      </c>
      <c r="D231" s="12">
        <v>44187</v>
      </c>
      <c r="E231" s="12">
        <v>44825</v>
      </c>
      <c r="F231" s="11">
        <v>65</v>
      </c>
      <c r="G231" s="11">
        <v>29</v>
      </c>
      <c r="H231" s="11">
        <v>0</v>
      </c>
      <c r="I231" s="11" t="s">
        <v>9</v>
      </c>
      <c r="J231" s="13" t="s">
        <v>10</v>
      </c>
      <c r="K231" s="10">
        <f>Table1[[#This Row],[Date of last Dispense]]-Table1[[#This Row],[Date of 1st Dispense]]</f>
        <v>638</v>
      </c>
      <c r="L231" s="10" t="str">
        <f t="shared" si="7"/>
        <v>12+ Months</v>
      </c>
      <c r="M231"/>
      <c r="N231"/>
      <c r="Q231"/>
      <c r="R231"/>
      <c r="V231"/>
      <c r="W231"/>
      <c r="X231"/>
    </row>
    <row r="232" spans="2:24" x14ac:dyDescent="0.3">
      <c r="B232" s="10" t="str">
        <f t="shared" ca="1" si="6"/>
        <v>HCP_238597</v>
      </c>
      <c r="C232" s="11" t="s">
        <v>27</v>
      </c>
      <c r="D232" s="12">
        <v>44185</v>
      </c>
      <c r="E232" s="12">
        <v>44585</v>
      </c>
      <c r="F232" s="11">
        <v>63</v>
      </c>
      <c r="G232" s="11">
        <v>33</v>
      </c>
      <c r="H232" s="11">
        <v>15</v>
      </c>
      <c r="I232" s="11" t="s">
        <v>9</v>
      </c>
      <c r="J232" s="13" t="s">
        <v>16</v>
      </c>
      <c r="K232" s="10">
        <f>Table1[[#This Row],[Date of last Dispense]]-Table1[[#This Row],[Date of 1st Dispense]]</f>
        <v>400</v>
      </c>
      <c r="L232" s="10" t="str">
        <f t="shared" si="7"/>
        <v>12+ Months</v>
      </c>
      <c r="M232"/>
      <c r="N232"/>
      <c r="Q232"/>
      <c r="R232"/>
      <c r="V232"/>
      <c r="W232"/>
      <c r="X232"/>
    </row>
    <row r="233" spans="2:24" x14ac:dyDescent="0.3">
      <c r="B233" s="10" t="str">
        <f t="shared" ca="1" si="6"/>
        <v>HCP_302975</v>
      </c>
      <c r="C233" s="11" t="s">
        <v>8</v>
      </c>
      <c r="D233" s="12">
        <v>44182</v>
      </c>
      <c r="E233" s="12">
        <v>44825</v>
      </c>
      <c r="F233" s="11">
        <v>58</v>
      </c>
      <c r="G233" s="11">
        <v>15</v>
      </c>
      <c r="H233" s="11">
        <v>14</v>
      </c>
      <c r="I233" s="11" t="s">
        <v>15</v>
      </c>
      <c r="J233" s="13" t="s">
        <v>10</v>
      </c>
      <c r="K233" s="10">
        <f>Table1[[#This Row],[Date of last Dispense]]-Table1[[#This Row],[Date of 1st Dispense]]</f>
        <v>643</v>
      </c>
      <c r="L233" s="10" t="str">
        <f t="shared" si="7"/>
        <v>12+ Months</v>
      </c>
      <c r="M233"/>
      <c r="N233"/>
      <c r="Q233"/>
      <c r="R233"/>
      <c r="V233"/>
      <c r="W233"/>
      <c r="X233"/>
    </row>
    <row r="234" spans="2:24" x14ac:dyDescent="0.3">
      <c r="B234" s="10" t="str">
        <f t="shared" ca="1" si="6"/>
        <v>HCP_687184</v>
      </c>
      <c r="C234" s="11" t="s">
        <v>8</v>
      </c>
      <c r="D234" s="12">
        <v>44182</v>
      </c>
      <c r="E234" s="12">
        <v>44330</v>
      </c>
      <c r="F234" s="11">
        <v>70</v>
      </c>
      <c r="G234" s="11">
        <v>48</v>
      </c>
      <c r="H234" s="11">
        <v>22</v>
      </c>
      <c r="I234" s="11" t="s">
        <v>9</v>
      </c>
      <c r="J234" s="13" t="s">
        <v>16</v>
      </c>
      <c r="K234" s="10">
        <f>Table1[[#This Row],[Date of last Dispense]]-Table1[[#This Row],[Date of 1st Dispense]]</f>
        <v>148</v>
      </c>
      <c r="L234" s="10" t="str">
        <f t="shared" si="7"/>
        <v>3-6 Months</v>
      </c>
      <c r="M234"/>
      <c r="N234"/>
      <c r="Q234"/>
      <c r="R234"/>
      <c r="V234"/>
      <c r="W234"/>
      <c r="X234"/>
    </row>
    <row r="235" spans="2:24" x14ac:dyDescent="0.3">
      <c r="B235" s="10" t="str">
        <f t="shared" ca="1" si="6"/>
        <v>HCP_803046</v>
      </c>
      <c r="C235" s="11" t="s">
        <v>8</v>
      </c>
      <c r="D235" s="12">
        <v>44027</v>
      </c>
      <c r="E235" s="12">
        <v>44820</v>
      </c>
      <c r="F235" s="11">
        <v>59</v>
      </c>
      <c r="G235" s="11">
        <v>8</v>
      </c>
      <c r="H235" s="11">
        <v>16</v>
      </c>
      <c r="I235" s="11" t="s">
        <v>9</v>
      </c>
      <c r="J235" s="13" t="s">
        <v>10</v>
      </c>
      <c r="K235" s="10">
        <f>Table1[[#This Row],[Date of last Dispense]]-Table1[[#This Row],[Date of 1st Dispense]]</f>
        <v>793</v>
      </c>
      <c r="L235" s="10" t="str">
        <f t="shared" si="7"/>
        <v>12+ Months</v>
      </c>
      <c r="M235"/>
      <c r="N235"/>
      <c r="Q235"/>
      <c r="R235"/>
      <c r="V235"/>
      <c r="W235"/>
      <c r="X235"/>
    </row>
    <row r="236" spans="2:24" x14ac:dyDescent="0.3">
      <c r="B236" s="10" t="str">
        <f t="shared" ca="1" si="6"/>
        <v>HCP_827410</v>
      </c>
      <c r="C236" s="11" t="s">
        <v>8</v>
      </c>
      <c r="D236" s="12">
        <v>44180</v>
      </c>
      <c r="E236" s="12">
        <v>44826</v>
      </c>
      <c r="F236" s="11">
        <v>56</v>
      </c>
      <c r="G236" s="11">
        <v>43</v>
      </c>
      <c r="H236" s="11">
        <v>29</v>
      </c>
      <c r="I236" s="11" t="s">
        <v>13</v>
      </c>
      <c r="J236" s="13" t="s">
        <v>10</v>
      </c>
      <c r="K236" s="10">
        <f>Table1[[#This Row],[Date of last Dispense]]-Table1[[#This Row],[Date of 1st Dispense]]</f>
        <v>646</v>
      </c>
      <c r="L236" s="10" t="str">
        <f t="shared" si="7"/>
        <v>12+ Months</v>
      </c>
      <c r="M236"/>
      <c r="N236"/>
      <c r="Q236"/>
      <c r="R236"/>
      <c r="V236"/>
      <c r="W236"/>
      <c r="X236"/>
    </row>
    <row r="237" spans="2:24" x14ac:dyDescent="0.3">
      <c r="B237" s="10" t="str">
        <f t="shared" ca="1" si="6"/>
        <v>HCP_462146</v>
      </c>
      <c r="C237" s="11" t="s">
        <v>17</v>
      </c>
      <c r="D237" s="12">
        <v>44180</v>
      </c>
      <c r="E237" s="12">
        <v>44657</v>
      </c>
      <c r="F237" s="11">
        <v>54</v>
      </c>
      <c r="G237" s="11">
        <v>34</v>
      </c>
      <c r="H237" s="11">
        <v>13</v>
      </c>
      <c r="I237" s="11" t="s">
        <v>15</v>
      </c>
      <c r="J237" s="13" t="s">
        <v>16</v>
      </c>
      <c r="K237" s="10">
        <f>Table1[[#This Row],[Date of last Dispense]]-Table1[[#This Row],[Date of 1st Dispense]]</f>
        <v>477</v>
      </c>
      <c r="L237" s="10" t="str">
        <f t="shared" si="7"/>
        <v>12+ Months</v>
      </c>
      <c r="M237"/>
      <c r="N237"/>
      <c r="Q237"/>
      <c r="R237"/>
      <c r="V237"/>
      <c r="W237"/>
      <c r="X237"/>
    </row>
    <row r="238" spans="2:24" x14ac:dyDescent="0.3">
      <c r="B238" s="10" t="str">
        <f t="shared" ca="1" si="6"/>
        <v>HCP_837426</v>
      </c>
      <c r="C238" s="11" t="s">
        <v>8</v>
      </c>
      <c r="D238" s="12">
        <v>44180</v>
      </c>
      <c r="E238" s="12">
        <v>44823</v>
      </c>
      <c r="F238" s="11">
        <v>36</v>
      </c>
      <c r="G238" s="11">
        <v>3</v>
      </c>
      <c r="H238" s="11">
        <v>23</v>
      </c>
      <c r="I238" s="11" t="s">
        <v>15</v>
      </c>
      <c r="J238" s="13" t="s">
        <v>10</v>
      </c>
      <c r="K238" s="10">
        <f>Table1[[#This Row],[Date of last Dispense]]-Table1[[#This Row],[Date of 1st Dispense]]</f>
        <v>643</v>
      </c>
      <c r="L238" s="10" t="str">
        <f t="shared" si="7"/>
        <v>12+ Months</v>
      </c>
      <c r="M238"/>
      <c r="N238"/>
      <c r="Q238"/>
      <c r="R238"/>
      <c r="V238"/>
      <c r="W238"/>
      <c r="X238"/>
    </row>
    <row r="239" spans="2:24" x14ac:dyDescent="0.3">
      <c r="B239" s="10" t="str">
        <f t="shared" ca="1" si="6"/>
        <v>HCP_800095</v>
      </c>
      <c r="C239" s="11" t="s">
        <v>8</v>
      </c>
      <c r="D239" s="12">
        <v>44179</v>
      </c>
      <c r="E239" s="12">
        <v>44826</v>
      </c>
      <c r="F239" s="11">
        <v>46</v>
      </c>
      <c r="G239" s="11">
        <v>35</v>
      </c>
      <c r="H239" s="11">
        <v>15</v>
      </c>
      <c r="I239" s="11" t="s">
        <v>19</v>
      </c>
      <c r="J239" s="13" t="s">
        <v>10</v>
      </c>
      <c r="K239" s="10">
        <f>Table1[[#This Row],[Date of last Dispense]]-Table1[[#This Row],[Date of 1st Dispense]]</f>
        <v>647</v>
      </c>
      <c r="L239" s="10" t="str">
        <f t="shared" si="7"/>
        <v>12+ Months</v>
      </c>
      <c r="M239"/>
      <c r="N239"/>
      <c r="Q239"/>
      <c r="R239"/>
      <c r="V239"/>
      <c r="W239"/>
      <c r="X239"/>
    </row>
    <row r="240" spans="2:24" x14ac:dyDescent="0.3">
      <c r="B240" s="10" t="str">
        <f t="shared" ca="1" si="6"/>
        <v>HCP_397087</v>
      </c>
      <c r="C240" s="11" t="s">
        <v>8</v>
      </c>
      <c r="D240" s="12">
        <v>44174</v>
      </c>
      <c r="E240" s="12">
        <v>44293</v>
      </c>
      <c r="F240" s="11">
        <v>61</v>
      </c>
      <c r="G240" s="11">
        <v>29</v>
      </c>
      <c r="H240" s="11">
        <v>13</v>
      </c>
      <c r="I240" s="11" t="s">
        <v>14</v>
      </c>
      <c r="J240" s="13" t="s">
        <v>16</v>
      </c>
      <c r="K240" s="10">
        <f>Table1[[#This Row],[Date of last Dispense]]-Table1[[#This Row],[Date of 1st Dispense]]</f>
        <v>119</v>
      </c>
      <c r="L240" s="10" t="str">
        <f t="shared" si="7"/>
        <v>3-6 Months</v>
      </c>
      <c r="M240"/>
      <c r="N240"/>
      <c r="Q240"/>
      <c r="R240"/>
      <c r="V240"/>
      <c r="W240"/>
      <c r="X240"/>
    </row>
    <row r="241" spans="2:24" x14ac:dyDescent="0.3">
      <c r="B241" s="10" t="str">
        <f t="shared" ca="1" si="6"/>
        <v>HCP_531279</v>
      </c>
      <c r="C241" s="11" t="s">
        <v>8</v>
      </c>
      <c r="D241" s="12">
        <v>44174</v>
      </c>
      <c r="E241" s="12">
        <v>44235</v>
      </c>
      <c r="F241" s="11">
        <v>20</v>
      </c>
      <c r="G241" s="11">
        <v>29</v>
      </c>
      <c r="H241" s="11">
        <v>25</v>
      </c>
      <c r="I241" s="11" t="s">
        <v>15</v>
      </c>
      <c r="J241" s="13" t="s">
        <v>16</v>
      </c>
      <c r="K241" s="10">
        <f>Table1[[#This Row],[Date of last Dispense]]-Table1[[#This Row],[Date of 1st Dispense]]</f>
        <v>61</v>
      </c>
      <c r="L241" s="10" t="str">
        <f t="shared" si="7"/>
        <v>0-3 Months</v>
      </c>
      <c r="M241"/>
      <c r="N241"/>
      <c r="Q241"/>
      <c r="R241"/>
      <c r="V241"/>
      <c r="W241"/>
      <c r="X241"/>
    </row>
    <row r="242" spans="2:24" x14ac:dyDescent="0.3">
      <c r="B242" s="10" t="str">
        <f t="shared" ca="1" si="6"/>
        <v>HCP_638291</v>
      </c>
      <c r="C242" s="11" t="s">
        <v>17</v>
      </c>
      <c r="D242" s="12">
        <v>44172</v>
      </c>
      <c r="E242" s="12">
        <v>44825</v>
      </c>
      <c r="F242" s="11">
        <v>6</v>
      </c>
      <c r="G242" s="11">
        <v>29</v>
      </c>
      <c r="H242" s="11">
        <v>24</v>
      </c>
      <c r="I242" s="11" t="s">
        <v>13</v>
      </c>
      <c r="J242" s="13" t="s">
        <v>10</v>
      </c>
      <c r="K242" s="10">
        <f>Table1[[#This Row],[Date of last Dispense]]-Table1[[#This Row],[Date of 1st Dispense]]</f>
        <v>653</v>
      </c>
      <c r="L242" s="10" t="str">
        <f t="shared" si="7"/>
        <v>12+ Months</v>
      </c>
      <c r="M242"/>
      <c r="N242"/>
      <c r="Q242"/>
      <c r="R242"/>
      <c r="V242"/>
      <c r="W242"/>
      <c r="X242"/>
    </row>
    <row r="243" spans="2:24" x14ac:dyDescent="0.3">
      <c r="B243" s="10" t="str">
        <f t="shared" ca="1" si="6"/>
        <v>HCP_720755</v>
      </c>
      <c r="C243" s="11" t="s">
        <v>8</v>
      </c>
      <c r="D243" s="12">
        <v>44172</v>
      </c>
      <c r="E243" s="12">
        <v>44820</v>
      </c>
      <c r="F243" s="11">
        <v>5</v>
      </c>
      <c r="G243" s="11">
        <v>12</v>
      </c>
      <c r="H243" s="11">
        <v>27</v>
      </c>
      <c r="I243" s="11" t="s">
        <v>15</v>
      </c>
      <c r="J243" s="13" t="s">
        <v>10</v>
      </c>
      <c r="K243" s="10">
        <f>Table1[[#This Row],[Date of last Dispense]]-Table1[[#This Row],[Date of 1st Dispense]]</f>
        <v>648</v>
      </c>
      <c r="L243" s="10" t="str">
        <f t="shared" si="7"/>
        <v>12+ Months</v>
      </c>
      <c r="M243"/>
      <c r="N243"/>
      <c r="Q243"/>
      <c r="R243"/>
      <c r="V243"/>
      <c r="W243"/>
      <c r="X243"/>
    </row>
    <row r="244" spans="2:24" x14ac:dyDescent="0.3">
      <c r="B244" s="10" t="str">
        <f t="shared" ca="1" si="6"/>
        <v>HCP_610865</v>
      </c>
      <c r="C244" s="11" t="s">
        <v>8</v>
      </c>
      <c r="D244" s="12">
        <v>44168</v>
      </c>
      <c r="E244" s="12">
        <v>44819</v>
      </c>
      <c r="F244" s="11">
        <v>70</v>
      </c>
      <c r="G244" s="11">
        <v>31</v>
      </c>
      <c r="H244" s="11">
        <v>23</v>
      </c>
      <c r="I244" s="11" t="s">
        <v>9</v>
      </c>
      <c r="J244" s="13" t="s">
        <v>10</v>
      </c>
      <c r="K244" s="10">
        <f>Table1[[#This Row],[Date of last Dispense]]-Table1[[#This Row],[Date of 1st Dispense]]</f>
        <v>651</v>
      </c>
      <c r="L244" s="10" t="str">
        <f t="shared" si="7"/>
        <v>12+ Months</v>
      </c>
      <c r="M244"/>
      <c r="N244"/>
      <c r="Q244"/>
      <c r="R244"/>
      <c r="V244"/>
      <c r="W244"/>
      <c r="X244"/>
    </row>
    <row r="245" spans="2:24" x14ac:dyDescent="0.3">
      <c r="B245" s="10" t="str">
        <f t="shared" ca="1" si="6"/>
        <v>HCP_637813</v>
      </c>
      <c r="C245" s="11" t="s">
        <v>8</v>
      </c>
      <c r="D245" s="12">
        <v>44166</v>
      </c>
      <c r="E245" s="12">
        <v>44816</v>
      </c>
      <c r="F245" s="11">
        <v>45</v>
      </c>
      <c r="G245" s="11">
        <v>10</v>
      </c>
      <c r="H245" s="11">
        <v>25</v>
      </c>
      <c r="I245" s="11" t="s">
        <v>13</v>
      </c>
      <c r="J245" s="13" t="s">
        <v>10</v>
      </c>
      <c r="K245" s="10">
        <f>Table1[[#This Row],[Date of last Dispense]]-Table1[[#This Row],[Date of 1st Dispense]]</f>
        <v>650</v>
      </c>
      <c r="L245" s="10" t="str">
        <f t="shared" si="7"/>
        <v>12+ Months</v>
      </c>
      <c r="M245"/>
      <c r="N245"/>
      <c r="Q245"/>
      <c r="R245"/>
      <c r="V245"/>
      <c r="W245"/>
      <c r="X245"/>
    </row>
    <row r="246" spans="2:24" x14ac:dyDescent="0.3">
      <c r="B246" s="10" t="str">
        <f t="shared" ca="1" si="6"/>
        <v>HCP_799026</v>
      </c>
      <c r="C246" s="11" t="s">
        <v>8</v>
      </c>
      <c r="D246" s="12">
        <v>44165</v>
      </c>
      <c r="E246" s="12">
        <v>44826</v>
      </c>
      <c r="F246" s="11">
        <v>20</v>
      </c>
      <c r="G246" s="11">
        <v>42</v>
      </c>
      <c r="H246" s="11">
        <v>27</v>
      </c>
      <c r="I246" s="11" t="s">
        <v>14</v>
      </c>
      <c r="J246" s="13" t="s">
        <v>10</v>
      </c>
      <c r="K246" s="10">
        <f>Table1[[#This Row],[Date of last Dispense]]-Table1[[#This Row],[Date of 1st Dispense]]</f>
        <v>661</v>
      </c>
      <c r="L246" s="10" t="str">
        <f t="shared" si="7"/>
        <v>12+ Months</v>
      </c>
      <c r="M246"/>
      <c r="N246"/>
      <c r="Q246"/>
      <c r="R246"/>
      <c r="V246"/>
      <c r="W246"/>
      <c r="X246"/>
    </row>
    <row r="247" spans="2:24" x14ac:dyDescent="0.3">
      <c r="B247" s="10" t="str">
        <f t="shared" ca="1" si="6"/>
        <v>HCP_586841</v>
      </c>
      <c r="C247" s="11" t="s">
        <v>17</v>
      </c>
      <c r="D247" s="12">
        <v>44165</v>
      </c>
      <c r="E247" s="12">
        <v>44529</v>
      </c>
      <c r="F247" s="11">
        <v>53</v>
      </c>
      <c r="G247" s="11">
        <v>50</v>
      </c>
      <c r="H247" s="11">
        <v>16</v>
      </c>
      <c r="I247" s="11" t="s">
        <v>19</v>
      </c>
      <c r="J247" s="13" t="s">
        <v>16</v>
      </c>
      <c r="K247" s="10">
        <f>Table1[[#This Row],[Date of last Dispense]]-Table1[[#This Row],[Date of 1st Dispense]]</f>
        <v>364</v>
      </c>
      <c r="L247" s="10" t="str">
        <f t="shared" si="7"/>
        <v>6-12 Months</v>
      </c>
      <c r="M247"/>
      <c r="N247"/>
      <c r="Q247"/>
      <c r="R247"/>
      <c r="V247"/>
      <c r="W247"/>
      <c r="X247"/>
    </row>
    <row r="248" spans="2:24" x14ac:dyDescent="0.3">
      <c r="B248" s="10" t="str">
        <f t="shared" ca="1" si="6"/>
        <v>HCP_477896</v>
      </c>
      <c r="C248" s="11" t="s">
        <v>17</v>
      </c>
      <c r="D248" s="12">
        <v>44159</v>
      </c>
      <c r="E248" s="12">
        <v>44385</v>
      </c>
      <c r="F248" s="11">
        <v>20</v>
      </c>
      <c r="G248" s="11">
        <v>17</v>
      </c>
      <c r="H248" s="11">
        <v>28</v>
      </c>
      <c r="I248" s="11" t="s">
        <v>15</v>
      </c>
      <c r="J248" s="13" t="s">
        <v>16</v>
      </c>
      <c r="K248" s="10">
        <f>Table1[[#This Row],[Date of last Dispense]]-Table1[[#This Row],[Date of 1st Dispense]]</f>
        <v>226</v>
      </c>
      <c r="L248" s="10" t="str">
        <f t="shared" si="7"/>
        <v>6-12 Months</v>
      </c>
      <c r="M248"/>
      <c r="N248"/>
      <c r="Q248"/>
      <c r="R248"/>
      <c r="V248"/>
      <c r="W248"/>
      <c r="X248"/>
    </row>
    <row r="249" spans="2:24" x14ac:dyDescent="0.3">
      <c r="B249" s="10" t="str">
        <f t="shared" ca="1" si="6"/>
        <v>HCP_686144</v>
      </c>
      <c r="C249" s="11" t="s">
        <v>8</v>
      </c>
      <c r="D249" s="12">
        <v>44158</v>
      </c>
      <c r="E249" s="12">
        <v>44474</v>
      </c>
      <c r="F249" s="11">
        <v>14</v>
      </c>
      <c r="G249" s="11">
        <v>10</v>
      </c>
      <c r="H249" s="11">
        <v>11</v>
      </c>
      <c r="I249" s="11" t="s">
        <v>14</v>
      </c>
      <c r="J249" s="13" t="s">
        <v>16</v>
      </c>
      <c r="K249" s="10">
        <f>Table1[[#This Row],[Date of last Dispense]]-Table1[[#This Row],[Date of 1st Dispense]]</f>
        <v>316</v>
      </c>
      <c r="L249" s="10" t="str">
        <f t="shared" si="7"/>
        <v>6-12 Months</v>
      </c>
      <c r="M249"/>
      <c r="N249"/>
      <c r="Q249"/>
      <c r="R249"/>
      <c r="V249"/>
      <c r="W249"/>
      <c r="X249"/>
    </row>
    <row r="250" spans="2:24" x14ac:dyDescent="0.3">
      <c r="B250" s="10" t="str">
        <f t="shared" ca="1" si="6"/>
        <v>HCP_235161</v>
      </c>
      <c r="C250" s="11" t="s">
        <v>8</v>
      </c>
      <c r="D250" s="12">
        <v>44157</v>
      </c>
      <c r="E250" s="12">
        <v>44825</v>
      </c>
      <c r="F250" s="11">
        <v>55</v>
      </c>
      <c r="G250" s="11">
        <v>15</v>
      </c>
      <c r="H250" s="11">
        <v>3</v>
      </c>
      <c r="I250" s="11" t="s">
        <v>19</v>
      </c>
      <c r="J250" s="13" t="s">
        <v>10</v>
      </c>
      <c r="K250" s="10">
        <f>Table1[[#This Row],[Date of last Dispense]]-Table1[[#This Row],[Date of 1st Dispense]]</f>
        <v>668</v>
      </c>
      <c r="L250" s="10" t="str">
        <f t="shared" si="7"/>
        <v>12+ Months</v>
      </c>
      <c r="M250"/>
      <c r="N250"/>
      <c r="Q250"/>
      <c r="R250"/>
      <c r="V250"/>
      <c r="W250"/>
      <c r="X250"/>
    </row>
    <row r="251" spans="2:24" x14ac:dyDescent="0.3">
      <c r="B251" s="10" t="str">
        <f t="shared" ca="1" si="6"/>
        <v>HCP_679494</v>
      </c>
      <c r="C251" s="11" t="s">
        <v>18</v>
      </c>
      <c r="D251" s="12">
        <v>44153</v>
      </c>
      <c r="E251" s="12">
        <v>44816</v>
      </c>
      <c r="F251" s="11">
        <v>17</v>
      </c>
      <c r="G251" s="11">
        <v>14</v>
      </c>
      <c r="H251" s="11">
        <v>1</v>
      </c>
      <c r="I251" s="11" t="s">
        <v>19</v>
      </c>
      <c r="J251" s="13" t="s">
        <v>10</v>
      </c>
      <c r="K251" s="10">
        <f>Table1[[#This Row],[Date of last Dispense]]-Table1[[#This Row],[Date of 1st Dispense]]</f>
        <v>663</v>
      </c>
      <c r="L251" s="10" t="str">
        <f t="shared" si="7"/>
        <v>12+ Months</v>
      </c>
      <c r="M251"/>
      <c r="N251"/>
      <c r="Q251"/>
      <c r="R251"/>
      <c r="V251"/>
      <c r="W251"/>
      <c r="X251"/>
    </row>
    <row r="252" spans="2:24" x14ac:dyDescent="0.3">
      <c r="B252" s="10" t="str">
        <f t="shared" ca="1" si="6"/>
        <v>HCP_637638</v>
      </c>
      <c r="C252" s="11" t="s">
        <v>17</v>
      </c>
      <c r="D252" s="12">
        <v>44060</v>
      </c>
      <c r="E252" s="12">
        <v>44827</v>
      </c>
      <c r="F252" s="11">
        <v>34</v>
      </c>
      <c r="G252" s="11">
        <v>1</v>
      </c>
      <c r="H252" s="11">
        <v>8</v>
      </c>
      <c r="I252" s="11" t="s">
        <v>13</v>
      </c>
      <c r="J252" s="13" t="s">
        <v>10</v>
      </c>
      <c r="K252" s="10">
        <f>Table1[[#This Row],[Date of last Dispense]]-Table1[[#This Row],[Date of 1st Dispense]]</f>
        <v>767</v>
      </c>
      <c r="L252" s="10" t="str">
        <f t="shared" si="7"/>
        <v>12+ Months</v>
      </c>
      <c r="M252"/>
      <c r="N252"/>
      <c r="Q252"/>
      <c r="R252"/>
      <c r="V252"/>
      <c r="W252"/>
      <c r="X252"/>
    </row>
    <row r="253" spans="2:24" x14ac:dyDescent="0.3">
      <c r="B253" s="10" t="str">
        <f t="shared" ca="1" si="6"/>
        <v>HCP_521064</v>
      </c>
      <c r="C253" s="11" t="s">
        <v>8</v>
      </c>
      <c r="D253" s="12">
        <v>44151</v>
      </c>
      <c r="E253" s="12">
        <v>44662</v>
      </c>
      <c r="F253" s="11">
        <v>46</v>
      </c>
      <c r="G253" s="11">
        <v>21</v>
      </c>
      <c r="H253" s="11">
        <v>15</v>
      </c>
      <c r="I253" s="11" t="s">
        <v>19</v>
      </c>
      <c r="J253" s="13" t="s">
        <v>16</v>
      </c>
      <c r="K253" s="10">
        <f>Table1[[#This Row],[Date of last Dispense]]-Table1[[#This Row],[Date of 1st Dispense]]</f>
        <v>511</v>
      </c>
      <c r="L253" s="10" t="str">
        <f t="shared" si="7"/>
        <v>12+ Months</v>
      </c>
      <c r="M253"/>
      <c r="N253"/>
      <c r="Q253"/>
      <c r="R253"/>
      <c r="V253"/>
      <c r="W253"/>
      <c r="X253"/>
    </row>
    <row r="254" spans="2:24" x14ac:dyDescent="0.3">
      <c r="B254" s="10" t="str">
        <f t="shared" ca="1" si="6"/>
        <v>HCP_798672</v>
      </c>
      <c r="C254" s="11" t="s">
        <v>8</v>
      </c>
      <c r="D254" s="12">
        <v>44146</v>
      </c>
      <c r="E254" s="12">
        <v>44819</v>
      </c>
      <c r="F254" s="11">
        <v>11</v>
      </c>
      <c r="G254" s="11">
        <v>47</v>
      </c>
      <c r="H254" s="11">
        <v>19</v>
      </c>
      <c r="I254" s="11" t="s">
        <v>9</v>
      </c>
      <c r="J254" s="13" t="s">
        <v>10</v>
      </c>
      <c r="K254" s="10">
        <f>Table1[[#This Row],[Date of last Dispense]]-Table1[[#This Row],[Date of 1st Dispense]]</f>
        <v>673</v>
      </c>
      <c r="L254" s="10" t="str">
        <f t="shared" si="7"/>
        <v>12+ Months</v>
      </c>
      <c r="M254"/>
      <c r="N254"/>
      <c r="Q254"/>
      <c r="R254"/>
      <c r="V254"/>
      <c r="W254"/>
      <c r="X254"/>
    </row>
    <row r="255" spans="2:24" x14ac:dyDescent="0.3">
      <c r="B255" s="10" t="str">
        <f t="shared" ca="1" si="6"/>
        <v>HCP_605170</v>
      </c>
      <c r="C255" s="11" t="s">
        <v>8</v>
      </c>
      <c r="D255" s="12">
        <v>44145</v>
      </c>
      <c r="E255" s="12">
        <v>44824</v>
      </c>
      <c r="F255" s="11">
        <v>6</v>
      </c>
      <c r="G255" s="11">
        <v>1</v>
      </c>
      <c r="H255" s="11">
        <v>1</v>
      </c>
      <c r="I255" s="11" t="s">
        <v>19</v>
      </c>
      <c r="J255" s="13" t="s">
        <v>10</v>
      </c>
      <c r="K255" s="10">
        <f>Table1[[#This Row],[Date of last Dispense]]-Table1[[#This Row],[Date of 1st Dispense]]</f>
        <v>679</v>
      </c>
      <c r="L255" s="10" t="str">
        <f t="shared" si="7"/>
        <v>12+ Months</v>
      </c>
      <c r="M255"/>
      <c r="N255"/>
      <c r="Q255"/>
      <c r="R255"/>
      <c r="V255"/>
      <c r="W255"/>
      <c r="X255"/>
    </row>
    <row r="256" spans="2:24" x14ac:dyDescent="0.3">
      <c r="B256" s="10" t="str">
        <f t="shared" ca="1" si="6"/>
        <v>HCP_751927</v>
      </c>
      <c r="C256" s="11" t="s">
        <v>20</v>
      </c>
      <c r="D256" s="12">
        <v>44145</v>
      </c>
      <c r="E256" s="12">
        <v>44825</v>
      </c>
      <c r="F256" s="11">
        <v>41</v>
      </c>
      <c r="G256" s="11">
        <v>13</v>
      </c>
      <c r="H256" s="11">
        <v>25</v>
      </c>
      <c r="I256" s="11" t="s">
        <v>15</v>
      </c>
      <c r="J256" s="13" t="s">
        <v>10</v>
      </c>
      <c r="K256" s="10">
        <f>Table1[[#This Row],[Date of last Dispense]]-Table1[[#This Row],[Date of 1st Dispense]]</f>
        <v>680</v>
      </c>
      <c r="L256" s="10" t="str">
        <f t="shared" si="7"/>
        <v>12+ Months</v>
      </c>
      <c r="M256"/>
      <c r="N256"/>
      <c r="Q256"/>
      <c r="R256"/>
      <c r="V256"/>
      <c r="W256"/>
      <c r="X256"/>
    </row>
    <row r="257" spans="2:24" x14ac:dyDescent="0.3">
      <c r="B257" s="10" t="str">
        <f t="shared" ca="1" si="6"/>
        <v>HCP_717964</v>
      </c>
      <c r="C257" s="11" t="s">
        <v>18</v>
      </c>
      <c r="D257" s="12">
        <v>44140</v>
      </c>
      <c r="E257" s="12">
        <v>44376</v>
      </c>
      <c r="F257" s="11">
        <v>43</v>
      </c>
      <c r="G257" s="11">
        <v>37</v>
      </c>
      <c r="H257" s="11">
        <v>3</v>
      </c>
      <c r="I257" s="11" t="s">
        <v>14</v>
      </c>
      <c r="J257" s="13" t="s">
        <v>16</v>
      </c>
      <c r="K257" s="10">
        <f>Table1[[#This Row],[Date of last Dispense]]-Table1[[#This Row],[Date of 1st Dispense]]</f>
        <v>236</v>
      </c>
      <c r="L257" s="10" t="str">
        <f t="shared" si="7"/>
        <v>6-12 Months</v>
      </c>
      <c r="M257"/>
      <c r="N257"/>
      <c r="Q257"/>
      <c r="R257"/>
      <c r="V257"/>
      <c r="W257"/>
      <c r="X257"/>
    </row>
    <row r="258" spans="2:24" x14ac:dyDescent="0.3">
      <c r="B258" s="10" t="str">
        <f t="shared" ca="1" si="6"/>
        <v>HCP_701755</v>
      </c>
      <c r="C258" s="11" t="s">
        <v>8</v>
      </c>
      <c r="D258" s="12">
        <v>44138</v>
      </c>
      <c r="E258" s="12">
        <v>44819</v>
      </c>
      <c r="F258" s="11">
        <v>55</v>
      </c>
      <c r="G258" s="11">
        <v>42</v>
      </c>
      <c r="H258" s="11">
        <v>20</v>
      </c>
      <c r="I258" s="11" t="s">
        <v>15</v>
      </c>
      <c r="J258" s="13" t="s">
        <v>10</v>
      </c>
      <c r="K258" s="10">
        <f>Table1[[#This Row],[Date of last Dispense]]-Table1[[#This Row],[Date of 1st Dispense]]</f>
        <v>681</v>
      </c>
      <c r="L258" s="10" t="str">
        <f t="shared" si="7"/>
        <v>12+ Months</v>
      </c>
      <c r="M258"/>
      <c r="N258"/>
      <c r="Q258"/>
      <c r="R258"/>
      <c r="V258"/>
      <c r="W258"/>
      <c r="X258"/>
    </row>
    <row r="259" spans="2:24" x14ac:dyDescent="0.3">
      <c r="B259" s="10" t="str">
        <f t="shared" ref="B259:B322" ca="1" si="8">"HCP_"&amp;TEXT(RANDBETWEEN(100000,999999),"000000")</f>
        <v>HCP_270908</v>
      </c>
      <c r="C259" s="11" t="s">
        <v>8</v>
      </c>
      <c r="D259" s="12">
        <v>44138</v>
      </c>
      <c r="E259" s="12">
        <v>44138</v>
      </c>
      <c r="F259" s="11">
        <v>4</v>
      </c>
      <c r="G259" s="11">
        <v>50</v>
      </c>
      <c r="H259" s="11">
        <v>11</v>
      </c>
      <c r="I259" s="11" t="s">
        <v>9</v>
      </c>
      <c r="J259" s="13" t="s">
        <v>16</v>
      </c>
      <c r="K259" s="10">
        <f>Table1[[#This Row],[Date of last Dispense]]-Table1[[#This Row],[Date of 1st Dispense]]</f>
        <v>0</v>
      </c>
      <c r="L259" s="10" t="str">
        <f t="shared" ref="L259:L322" si="9">IF(K259&lt;=90, "0-3 Months",IF(K259&lt;=180,"3-6 Months",IF(K259&lt;=365, "6-12 Months", "12+ Months")))</f>
        <v>0-3 Months</v>
      </c>
      <c r="M259"/>
      <c r="N259"/>
      <c r="Q259"/>
      <c r="R259"/>
      <c r="V259"/>
      <c r="W259"/>
      <c r="X259"/>
    </row>
    <row r="260" spans="2:24" x14ac:dyDescent="0.3">
      <c r="B260" s="10" t="str">
        <f t="shared" ca="1" si="8"/>
        <v>HCP_230587</v>
      </c>
      <c r="C260" s="11" t="s">
        <v>8</v>
      </c>
      <c r="D260" s="12">
        <v>44137</v>
      </c>
      <c r="E260" s="12">
        <v>44826</v>
      </c>
      <c r="F260" s="11">
        <v>37</v>
      </c>
      <c r="G260" s="11">
        <v>36</v>
      </c>
      <c r="H260" s="11">
        <v>2</v>
      </c>
      <c r="I260" s="11" t="s">
        <v>9</v>
      </c>
      <c r="J260" s="13" t="s">
        <v>10</v>
      </c>
      <c r="K260" s="10">
        <f>Table1[[#This Row],[Date of last Dispense]]-Table1[[#This Row],[Date of 1st Dispense]]</f>
        <v>689</v>
      </c>
      <c r="L260" s="10" t="str">
        <f t="shared" si="9"/>
        <v>12+ Months</v>
      </c>
      <c r="M260"/>
      <c r="N260"/>
      <c r="Q260"/>
      <c r="R260"/>
      <c r="V260"/>
      <c r="W260"/>
      <c r="X260"/>
    </row>
    <row r="261" spans="2:24" x14ac:dyDescent="0.3">
      <c r="B261" s="10" t="str">
        <f t="shared" ca="1" si="8"/>
        <v>HCP_603234</v>
      </c>
      <c r="C261" s="11" t="s">
        <v>27</v>
      </c>
      <c r="D261" s="12">
        <v>44137</v>
      </c>
      <c r="E261" s="12">
        <v>44166</v>
      </c>
      <c r="F261" s="11">
        <v>28</v>
      </c>
      <c r="G261" s="11">
        <v>15</v>
      </c>
      <c r="H261" s="11">
        <v>12</v>
      </c>
      <c r="I261" s="11" t="s">
        <v>15</v>
      </c>
      <c r="J261" s="13" t="s">
        <v>16</v>
      </c>
      <c r="K261" s="10">
        <f>Table1[[#This Row],[Date of last Dispense]]-Table1[[#This Row],[Date of 1st Dispense]]</f>
        <v>29</v>
      </c>
      <c r="L261" s="10" t="str">
        <f t="shared" si="9"/>
        <v>0-3 Months</v>
      </c>
      <c r="M261"/>
      <c r="N261"/>
      <c r="Q261"/>
      <c r="R261"/>
      <c r="V261"/>
      <c r="W261"/>
      <c r="X261"/>
    </row>
    <row r="262" spans="2:24" x14ac:dyDescent="0.3">
      <c r="B262" s="10" t="str">
        <f t="shared" ca="1" si="8"/>
        <v>HCP_283928</v>
      </c>
      <c r="C262" s="11" t="s">
        <v>17</v>
      </c>
      <c r="D262" s="12">
        <v>44133</v>
      </c>
      <c r="E262" s="12">
        <v>44823</v>
      </c>
      <c r="F262" s="11">
        <v>5</v>
      </c>
      <c r="G262" s="11">
        <v>11</v>
      </c>
      <c r="H262" s="11">
        <v>22</v>
      </c>
      <c r="I262" s="11" t="s">
        <v>19</v>
      </c>
      <c r="J262" s="13" t="s">
        <v>10</v>
      </c>
      <c r="K262" s="10">
        <f>Table1[[#This Row],[Date of last Dispense]]-Table1[[#This Row],[Date of 1st Dispense]]</f>
        <v>690</v>
      </c>
      <c r="L262" s="10" t="str">
        <f t="shared" si="9"/>
        <v>12+ Months</v>
      </c>
      <c r="M262"/>
      <c r="N262"/>
      <c r="Q262"/>
      <c r="R262"/>
      <c r="V262"/>
      <c r="W262"/>
      <c r="X262"/>
    </row>
    <row r="263" spans="2:24" x14ac:dyDescent="0.3">
      <c r="B263" s="10" t="str">
        <f t="shared" ca="1" si="8"/>
        <v>HCP_221235</v>
      </c>
      <c r="C263" s="11" t="s">
        <v>17</v>
      </c>
      <c r="D263" s="12">
        <v>44132</v>
      </c>
      <c r="E263" s="12">
        <v>44812</v>
      </c>
      <c r="F263" s="11">
        <v>53</v>
      </c>
      <c r="G263" s="11">
        <v>38</v>
      </c>
      <c r="H263" s="11">
        <v>18</v>
      </c>
      <c r="I263" s="11" t="s">
        <v>19</v>
      </c>
      <c r="J263" s="13" t="s">
        <v>10</v>
      </c>
      <c r="K263" s="10">
        <f>Table1[[#This Row],[Date of last Dispense]]-Table1[[#This Row],[Date of 1st Dispense]]</f>
        <v>680</v>
      </c>
      <c r="L263" s="10" t="str">
        <f t="shared" si="9"/>
        <v>12+ Months</v>
      </c>
      <c r="M263"/>
      <c r="N263"/>
      <c r="Q263"/>
      <c r="R263"/>
      <c r="V263"/>
      <c r="W263"/>
      <c r="X263"/>
    </row>
    <row r="264" spans="2:24" x14ac:dyDescent="0.3">
      <c r="B264" s="10" t="str">
        <f t="shared" ca="1" si="8"/>
        <v>HCP_631886</v>
      </c>
      <c r="C264" s="11" t="s">
        <v>12</v>
      </c>
      <c r="D264" s="12">
        <v>44132</v>
      </c>
      <c r="E264" s="12">
        <v>44818</v>
      </c>
      <c r="F264" s="11">
        <v>36</v>
      </c>
      <c r="G264" s="11">
        <v>1</v>
      </c>
      <c r="H264" s="11">
        <v>30</v>
      </c>
      <c r="I264" s="11" t="s">
        <v>13</v>
      </c>
      <c r="J264" s="13" t="s">
        <v>10</v>
      </c>
      <c r="K264" s="10">
        <f>Table1[[#This Row],[Date of last Dispense]]-Table1[[#This Row],[Date of 1st Dispense]]</f>
        <v>686</v>
      </c>
      <c r="L264" s="10" t="str">
        <f t="shared" si="9"/>
        <v>12+ Months</v>
      </c>
      <c r="M264"/>
      <c r="N264"/>
      <c r="Q264"/>
      <c r="R264"/>
      <c r="V264"/>
      <c r="W264"/>
      <c r="X264"/>
    </row>
    <row r="265" spans="2:24" x14ac:dyDescent="0.3">
      <c r="B265" s="10" t="str">
        <f t="shared" ca="1" si="8"/>
        <v>HCP_382964</v>
      </c>
      <c r="C265" s="11" t="s">
        <v>8</v>
      </c>
      <c r="D265" s="12">
        <v>44132</v>
      </c>
      <c r="E265" s="12">
        <v>44558</v>
      </c>
      <c r="F265" s="11">
        <v>70</v>
      </c>
      <c r="G265" s="11">
        <v>9</v>
      </c>
      <c r="H265" s="11">
        <v>24</v>
      </c>
      <c r="I265" s="11" t="s">
        <v>9</v>
      </c>
      <c r="J265" s="13" t="s">
        <v>16</v>
      </c>
      <c r="K265" s="10">
        <f>Table1[[#This Row],[Date of last Dispense]]-Table1[[#This Row],[Date of 1st Dispense]]</f>
        <v>426</v>
      </c>
      <c r="L265" s="10" t="str">
        <f t="shared" si="9"/>
        <v>12+ Months</v>
      </c>
      <c r="M265"/>
      <c r="N265"/>
      <c r="Q265"/>
      <c r="R265"/>
      <c r="V265"/>
      <c r="W265"/>
      <c r="X265"/>
    </row>
    <row r="266" spans="2:24" x14ac:dyDescent="0.3">
      <c r="B266" s="10" t="str">
        <f t="shared" ca="1" si="8"/>
        <v>HCP_899998</v>
      </c>
      <c r="C266" s="11" t="s">
        <v>8</v>
      </c>
      <c r="D266" s="12">
        <v>44131</v>
      </c>
      <c r="E266" s="12">
        <v>44825</v>
      </c>
      <c r="F266" s="11">
        <v>25</v>
      </c>
      <c r="G266" s="11">
        <v>4</v>
      </c>
      <c r="H266" s="11">
        <v>9</v>
      </c>
      <c r="I266" s="11" t="s">
        <v>13</v>
      </c>
      <c r="J266" s="13" t="s">
        <v>10</v>
      </c>
      <c r="K266" s="10">
        <f>Table1[[#This Row],[Date of last Dispense]]-Table1[[#This Row],[Date of 1st Dispense]]</f>
        <v>694</v>
      </c>
      <c r="L266" s="10" t="str">
        <f t="shared" si="9"/>
        <v>12+ Months</v>
      </c>
      <c r="M266"/>
      <c r="N266"/>
      <c r="Q266"/>
      <c r="R266"/>
      <c r="V266"/>
      <c r="W266"/>
      <c r="X266"/>
    </row>
    <row r="267" spans="2:24" x14ac:dyDescent="0.3">
      <c r="B267" s="10" t="str">
        <f t="shared" ca="1" si="8"/>
        <v>HCP_460134</v>
      </c>
      <c r="C267" s="11" t="s">
        <v>20</v>
      </c>
      <c r="D267" s="12">
        <v>44536</v>
      </c>
      <c r="E267" s="12">
        <v>44827</v>
      </c>
      <c r="F267" s="11">
        <v>17</v>
      </c>
      <c r="G267" s="11">
        <v>9</v>
      </c>
      <c r="H267" s="11">
        <v>14</v>
      </c>
      <c r="I267" s="11" t="s">
        <v>9</v>
      </c>
      <c r="J267" s="13" t="s">
        <v>10</v>
      </c>
      <c r="K267" s="10">
        <f>Table1[[#This Row],[Date of last Dispense]]-Table1[[#This Row],[Date of 1st Dispense]]</f>
        <v>291</v>
      </c>
      <c r="L267" s="10" t="str">
        <f t="shared" si="9"/>
        <v>6-12 Months</v>
      </c>
      <c r="M267"/>
      <c r="N267"/>
      <c r="Q267"/>
      <c r="R267"/>
      <c r="V267"/>
      <c r="W267"/>
      <c r="X267"/>
    </row>
    <row r="268" spans="2:24" x14ac:dyDescent="0.3">
      <c r="B268" s="10" t="str">
        <f t="shared" ca="1" si="8"/>
        <v>HCP_929507</v>
      </c>
      <c r="C268" s="11" t="s">
        <v>8</v>
      </c>
      <c r="D268" s="12">
        <v>44130</v>
      </c>
      <c r="E268" s="12">
        <v>44817</v>
      </c>
      <c r="F268" s="11">
        <v>67</v>
      </c>
      <c r="G268" s="11">
        <v>36</v>
      </c>
      <c r="H268" s="11">
        <v>4</v>
      </c>
      <c r="I268" s="11" t="s">
        <v>9</v>
      </c>
      <c r="J268" s="13" t="s">
        <v>10</v>
      </c>
      <c r="K268" s="10">
        <f>Table1[[#This Row],[Date of last Dispense]]-Table1[[#This Row],[Date of 1st Dispense]]</f>
        <v>687</v>
      </c>
      <c r="L268" s="10" t="str">
        <f t="shared" si="9"/>
        <v>12+ Months</v>
      </c>
      <c r="M268"/>
      <c r="N268"/>
      <c r="Q268"/>
      <c r="R268"/>
      <c r="V268"/>
      <c r="W268"/>
      <c r="X268"/>
    </row>
    <row r="269" spans="2:24" x14ac:dyDescent="0.3">
      <c r="B269" s="10" t="str">
        <f t="shared" ca="1" si="8"/>
        <v>HCP_620274</v>
      </c>
      <c r="C269" s="11" t="s">
        <v>8</v>
      </c>
      <c r="D269" s="12">
        <v>44130</v>
      </c>
      <c r="E269" s="12">
        <v>44824</v>
      </c>
      <c r="F269" s="11">
        <v>26</v>
      </c>
      <c r="G269" s="11">
        <v>19</v>
      </c>
      <c r="H269" s="11">
        <v>7</v>
      </c>
      <c r="I269" s="11" t="s">
        <v>14</v>
      </c>
      <c r="J269" s="13" t="s">
        <v>10</v>
      </c>
      <c r="K269" s="10">
        <f>Table1[[#This Row],[Date of last Dispense]]-Table1[[#This Row],[Date of 1st Dispense]]</f>
        <v>694</v>
      </c>
      <c r="L269" s="10" t="str">
        <f t="shared" si="9"/>
        <v>12+ Months</v>
      </c>
      <c r="M269"/>
      <c r="N269"/>
      <c r="Q269"/>
      <c r="R269"/>
      <c r="V269"/>
      <c r="W269"/>
      <c r="X269"/>
    </row>
    <row r="270" spans="2:24" x14ac:dyDescent="0.3">
      <c r="B270" s="10" t="str">
        <f t="shared" ca="1" si="8"/>
        <v>HCP_260428</v>
      </c>
      <c r="C270" s="11" t="s">
        <v>8</v>
      </c>
      <c r="D270" s="12">
        <v>44130</v>
      </c>
      <c r="E270" s="12">
        <v>44173</v>
      </c>
      <c r="F270" s="11">
        <v>49</v>
      </c>
      <c r="G270" s="11">
        <v>43</v>
      </c>
      <c r="H270" s="11">
        <v>20</v>
      </c>
      <c r="I270" s="11" t="s">
        <v>9</v>
      </c>
      <c r="J270" s="13" t="s">
        <v>16</v>
      </c>
      <c r="K270" s="10">
        <f>Table1[[#This Row],[Date of last Dispense]]-Table1[[#This Row],[Date of 1st Dispense]]</f>
        <v>43</v>
      </c>
      <c r="L270" s="10" t="str">
        <f t="shared" si="9"/>
        <v>0-3 Months</v>
      </c>
      <c r="M270"/>
      <c r="N270"/>
      <c r="Q270"/>
      <c r="R270"/>
      <c r="V270"/>
      <c r="W270"/>
      <c r="X270"/>
    </row>
    <row r="271" spans="2:24" x14ac:dyDescent="0.3">
      <c r="B271" s="10" t="str">
        <f t="shared" ca="1" si="8"/>
        <v>HCP_234170</v>
      </c>
      <c r="C271" s="11" t="s">
        <v>8</v>
      </c>
      <c r="D271" s="12">
        <v>44125</v>
      </c>
      <c r="E271" s="12">
        <v>44823</v>
      </c>
      <c r="F271" s="11">
        <v>2</v>
      </c>
      <c r="G271" s="11">
        <v>4</v>
      </c>
      <c r="H271" s="11">
        <v>2</v>
      </c>
      <c r="I271" s="11" t="s">
        <v>14</v>
      </c>
      <c r="J271" s="13" t="s">
        <v>10</v>
      </c>
      <c r="K271" s="10">
        <f>Table1[[#This Row],[Date of last Dispense]]-Table1[[#This Row],[Date of 1st Dispense]]</f>
        <v>698</v>
      </c>
      <c r="L271" s="10" t="str">
        <f t="shared" si="9"/>
        <v>12+ Months</v>
      </c>
      <c r="M271"/>
      <c r="N271"/>
      <c r="Q271"/>
      <c r="R271"/>
      <c r="V271"/>
      <c r="W271"/>
      <c r="X271"/>
    </row>
    <row r="272" spans="2:24" x14ac:dyDescent="0.3">
      <c r="B272" s="10" t="str">
        <f t="shared" ca="1" si="8"/>
        <v>HCP_213738</v>
      </c>
      <c r="C272" s="11" t="s">
        <v>8</v>
      </c>
      <c r="D272" s="12">
        <v>44123</v>
      </c>
      <c r="E272" s="12">
        <v>44818</v>
      </c>
      <c r="F272" s="11">
        <v>24</v>
      </c>
      <c r="G272" s="11">
        <v>35</v>
      </c>
      <c r="H272" s="11">
        <v>17</v>
      </c>
      <c r="I272" s="11" t="s">
        <v>9</v>
      </c>
      <c r="J272" s="13" t="s">
        <v>10</v>
      </c>
      <c r="K272" s="10">
        <f>Table1[[#This Row],[Date of last Dispense]]-Table1[[#This Row],[Date of 1st Dispense]]</f>
        <v>695</v>
      </c>
      <c r="L272" s="10" t="str">
        <f t="shared" si="9"/>
        <v>12+ Months</v>
      </c>
      <c r="M272"/>
      <c r="N272"/>
      <c r="Q272"/>
      <c r="R272"/>
      <c r="V272"/>
      <c r="W272"/>
      <c r="X272"/>
    </row>
    <row r="273" spans="2:24" x14ac:dyDescent="0.3">
      <c r="B273" s="10" t="str">
        <f t="shared" ca="1" si="8"/>
        <v>HCP_450759</v>
      </c>
      <c r="C273" s="11" t="s">
        <v>8</v>
      </c>
      <c r="D273" s="12">
        <v>44123</v>
      </c>
      <c r="E273" s="12">
        <v>44804</v>
      </c>
      <c r="F273" s="11">
        <v>66</v>
      </c>
      <c r="G273" s="11">
        <v>20</v>
      </c>
      <c r="H273" s="11">
        <v>3</v>
      </c>
      <c r="I273" s="11" t="s">
        <v>19</v>
      </c>
      <c r="J273" s="13" t="s">
        <v>10</v>
      </c>
      <c r="K273" s="10">
        <f>Table1[[#This Row],[Date of last Dispense]]-Table1[[#This Row],[Date of 1st Dispense]]</f>
        <v>681</v>
      </c>
      <c r="L273" s="10" t="str">
        <f t="shared" si="9"/>
        <v>12+ Months</v>
      </c>
      <c r="M273"/>
      <c r="N273"/>
      <c r="Q273"/>
      <c r="R273"/>
      <c r="V273"/>
      <c r="W273"/>
      <c r="X273"/>
    </row>
    <row r="274" spans="2:24" x14ac:dyDescent="0.3">
      <c r="B274" s="10" t="str">
        <f t="shared" ca="1" si="8"/>
        <v>HCP_726384</v>
      </c>
      <c r="C274" s="11" t="s">
        <v>8</v>
      </c>
      <c r="D274" s="12">
        <v>44119</v>
      </c>
      <c r="E274" s="12">
        <v>44504</v>
      </c>
      <c r="F274" s="11">
        <v>51</v>
      </c>
      <c r="G274" s="11">
        <v>22</v>
      </c>
      <c r="H274" s="11">
        <v>28</v>
      </c>
      <c r="I274" s="11" t="s">
        <v>19</v>
      </c>
      <c r="J274" s="13" t="s">
        <v>16</v>
      </c>
      <c r="K274" s="10">
        <f>Table1[[#This Row],[Date of last Dispense]]-Table1[[#This Row],[Date of 1st Dispense]]</f>
        <v>385</v>
      </c>
      <c r="L274" s="10" t="str">
        <f t="shared" si="9"/>
        <v>12+ Months</v>
      </c>
      <c r="M274"/>
      <c r="N274"/>
      <c r="Q274"/>
      <c r="R274"/>
      <c r="V274"/>
      <c r="W274"/>
      <c r="X274"/>
    </row>
    <row r="275" spans="2:24" x14ac:dyDescent="0.3">
      <c r="B275" s="10" t="str">
        <f t="shared" ca="1" si="8"/>
        <v>HCP_703720</v>
      </c>
      <c r="C275" s="11" t="s">
        <v>8</v>
      </c>
      <c r="D275" s="12">
        <v>44118</v>
      </c>
      <c r="E275" s="12">
        <v>44118</v>
      </c>
      <c r="F275" s="11">
        <v>34</v>
      </c>
      <c r="G275" s="11">
        <v>1</v>
      </c>
      <c r="H275" s="11">
        <v>1</v>
      </c>
      <c r="I275" s="11" t="s">
        <v>14</v>
      </c>
      <c r="J275" s="13" t="s">
        <v>16</v>
      </c>
      <c r="K275" s="10">
        <f>Table1[[#This Row],[Date of last Dispense]]-Table1[[#This Row],[Date of 1st Dispense]]</f>
        <v>0</v>
      </c>
      <c r="L275" s="10" t="str">
        <f t="shared" si="9"/>
        <v>0-3 Months</v>
      </c>
      <c r="M275"/>
      <c r="N275"/>
      <c r="Q275"/>
      <c r="R275"/>
      <c r="V275"/>
      <c r="W275"/>
      <c r="X275"/>
    </row>
    <row r="276" spans="2:24" x14ac:dyDescent="0.3">
      <c r="B276" s="10" t="str">
        <f t="shared" ca="1" si="8"/>
        <v>HCP_531406</v>
      </c>
      <c r="C276" s="11" t="s">
        <v>8</v>
      </c>
      <c r="D276" s="12">
        <v>44117</v>
      </c>
      <c r="E276" s="12">
        <v>44824</v>
      </c>
      <c r="F276" s="11">
        <v>70</v>
      </c>
      <c r="G276" s="11">
        <v>4</v>
      </c>
      <c r="H276" s="11">
        <v>10</v>
      </c>
      <c r="I276" s="11" t="s">
        <v>9</v>
      </c>
      <c r="J276" s="13" t="s">
        <v>10</v>
      </c>
      <c r="K276" s="10">
        <f>Table1[[#This Row],[Date of last Dispense]]-Table1[[#This Row],[Date of 1st Dispense]]</f>
        <v>707</v>
      </c>
      <c r="L276" s="10" t="str">
        <f t="shared" si="9"/>
        <v>12+ Months</v>
      </c>
      <c r="M276"/>
      <c r="N276" s="1"/>
      <c r="O276" s="8"/>
      <c r="P276" s="9"/>
      <c r="Q276"/>
      <c r="R276"/>
      <c r="V276"/>
      <c r="W276"/>
      <c r="X276"/>
    </row>
    <row r="277" spans="2:24" x14ac:dyDescent="0.3">
      <c r="B277" s="10" t="str">
        <f t="shared" ca="1" si="8"/>
        <v>HCP_484290</v>
      </c>
      <c r="C277" s="11" t="s">
        <v>8</v>
      </c>
      <c r="D277" s="12">
        <v>44117</v>
      </c>
      <c r="E277" s="12">
        <v>44777</v>
      </c>
      <c r="F277" s="11">
        <v>56</v>
      </c>
      <c r="G277" s="11">
        <v>9</v>
      </c>
      <c r="H277" s="11">
        <v>4</v>
      </c>
      <c r="I277" s="11" t="s">
        <v>19</v>
      </c>
      <c r="J277" s="13" t="s">
        <v>10</v>
      </c>
      <c r="K277" s="10">
        <f>Table1[[#This Row],[Date of last Dispense]]-Table1[[#This Row],[Date of 1st Dispense]]</f>
        <v>660</v>
      </c>
      <c r="L277" s="10" t="str">
        <f t="shared" si="9"/>
        <v>12+ Months</v>
      </c>
      <c r="M277"/>
      <c r="N277" s="1"/>
      <c r="O277" s="8"/>
      <c r="P277" s="9"/>
      <c r="Q277"/>
      <c r="R277"/>
      <c r="V277"/>
      <c r="W277"/>
      <c r="X277"/>
    </row>
    <row r="278" spans="2:24" x14ac:dyDescent="0.3">
      <c r="B278" s="10" t="str">
        <f t="shared" ca="1" si="8"/>
        <v>HCP_407379</v>
      </c>
      <c r="C278" s="11" t="s">
        <v>8</v>
      </c>
      <c r="D278" s="12">
        <v>44115</v>
      </c>
      <c r="E278" s="12">
        <v>44823</v>
      </c>
      <c r="F278" s="11">
        <v>54</v>
      </c>
      <c r="G278" s="11">
        <v>9</v>
      </c>
      <c r="H278" s="11">
        <v>18</v>
      </c>
      <c r="I278" s="11" t="s">
        <v>9</v>
      </c>
      <c r="J278" s="13" t="s">
        <v>10</v>
      </c>
      <c r="K278" s="10">
        <f>Table1[[#This Row],[Date of last Dispense]]-Table1[[#This Row],[Date of 1st Dispense]]</f>
        <v>708</v>
      </c>
      <c r="L278" s="10" t="str">
        <f t="shared" si="9"/>
        <v>12+ Months</v>
      </c>
      <c r="M278"/>
      <c r="N278" s="1"/>
      <c r="O278" s="8"/>
      <c r="P278" s="9"/>
      <c r="Q278"/>
      <c r="R278"/>
      <c r="V278"/>
      <c r="W278"/>
      <c r="X278"/>
    </row>
    <row r="279" spans="2:24" x14ac:dyDescent="0.3">
      <c r="B279" s="10" t="str">
        <f t="shared" ca="1" si="8"/>
        <v>HCP_123902</v>
      </c>
      <c r="C279" s="11" t="s">
        <v>8</v>
      </c>
      <c r="D279" s="12">
        <v>44111</v>
      </c>
      <c r="E279" s="12">
        <v>44819</v>
      </c>
      <c r="F279" s="11">
        <v>46</v>
      </c>
      <c r="G279" s="11">
        <v>29</v>
      </c>
      <c r="H279" s="11">
        <v>3</v>
      </c>
      <c r="I279" s="11" t="s">
        <v>13</v>
      </c>
      <c r="J279" s="13" t="s">
        <v>10</v>
      </c>
      <c r="K279" s="10">
        <f>Table1[[#This Row],[Date of last Dispense]]-Table1[[#This Row],[Date of 1st Dispense]]</f>
        <v>708</v>
      </c>
      <c r="L279" s="10" t="str">
        <f t="shared" si="9"/>
        <v>12+ Months</v>
      </c>
      <c r="M279"/>
      <c r="N279" s="1"/>
      <c r="O279" s="8"/>
      <c r="P279" s="9"/>
      <c r="Q279"/>
      <c r="R279"/>
      <c r="V279"/>
      <c r="W279"/>
      <c r="X279"/>
    </row>
    <row r="280" spans="2:24" x14ac:dyDescent="0.3">
      <c r="B280" s="10" t="str">
        <f t="shared" ca="1" si="8"/>
        <v>HCP_413678</v>
      </c>
      <c r="C280" s="11" t="s">
        <v>8</v>
      </c>
      <c r="D280" s="12">
        <v>44111</v>
      </c>
      <c r="E280" s="12">
        <v>44819</v>
      </c>
      <c r="F280" s="11">
        <v>15</v>
      </c>
      <c r="G280" s="11">
        <v>5</v>
      </c>
      <c r="H280" s="11">
        <v>22</v>
      </c>
      <c r="I280" s="11" t="s">
        <v>15</v>
      </c>
      <c r="J280" s="13" t="s">
        <v>10</v>
      </c>
      <c r="K280" s="10">
        <f>Table1[[#This Row],[Date of last Dispense]]-Table1[[#This Row],[Date of 1st Dispense]]</f>
        <v>708</v>
      </c>
      <c r="L280" s="10" t="str">
        <f t="shared" si="9"/>
        <v>12+ Months</v>
      </c>
      <c r="M280"/>
      <c r="N280" s="1"/>
      <c r="O280" s="8"/>
      <c r="P280" s="9"/>
      <c r="Q280"/>
      <c r="R280"/>
      <c r="V280"/>
      <c r="W280"/>
      <c r="X280"/>
    </row>
    <row r="281" spans="2:24" x14ac:dyDescent="0.3">
      <c r="B281" s="10" t="str">
        <f t="shared" ca="1" si="8"/>
        <v>HCP_349192</v>
      </c>
      <c r="C281" s="11" t="s">
        <v>8</v>
      </c>
      <c r="D281" s="12">
        <v>44111</v>
      </c>
      <c r="E281" s="12">
        <v>44823</v>
      </c>
      <c r="F281" s="11">
        <v>34</v>
      </c>
      <c r="G281" s="11">
        <v>7</v>
      </c>
      <c r="H281" s="11">
        <v>4</v>
      </c>
      <c r="I281" s="11" t="s">
        <v>13</v>
      </c>
      <c r="J281" s="13" t="s">
        <v>10</v>
      </c>
      <c r="K281" s="10">
        <f>Table1[[#This Row],[Date of last Dispense]]-Table1[[#This Row],[Date of 1st Dispense]]</f>
        <v>712</v>
      </c>
      <c r="L281" s="10" t="str">
        <f t="shared" si="9"/>
        <v>12+ Months</v>
      </c>
      <c r="M281"/>
      <c r="N281" s="1"/>
      <c r="O281" s="8"/>
      <c r="P281" s="9"/>
      <c r="Q281"/>
      <c r="R281"/>
      <c r="V281"/>
      <c r="W281"/>
      <c r="X281"/>
    </row>
    <row r="282" spans="2:24" x14ac:dyDescent="0.3">
      <c r="B282" s="10" t="str">
        <f t="shared" ca="1" si="8"/>
        <v>HCP_110259</v>
      </c>
      <c r="C282" s="11" t="s">
        <v>8</v>
      </c>
      <c r="D282" s="12">
        <v>44110</v>
      </c>
      <c r="E282" s="12">
        <v>44825</v>
      </c>
      <c r="F282" s="11">
        <v>63</v>
      </c>
      <c r="G282" s="11">
        <v>26</v>
      </c>
      <c r="H282" s="11">
        <v>24</v>
      </c>
      <c r="I282" s="11" t="s">
        <v>14</v>
      </c>
      <c r="J282" s="13" t="s">
        <v>10</v>
      </c>
      <c r="K282" s="10">
        <f>Table1[[#This Row],[Date of last Dispense]]-Table1[[#This Row],[Date of 1st Dispense]]</f>
        <v>715</v>
      </c>
      <c r="L282" s="10" t="str">
        <f t="shared" si="9"/>
        <v>12+ Months</v>
      </c>
      <c r="M282"/>
      <c r="N282" s="1"/>
      <c r="O282" s="8"/>
      <c r="P282" s="9"/>
      <c r="Q282"/>
      <c r="R282"/>
      <c r="V282"/>
      <c r="W282"/>
      <c r="X282"/>
    </row>
    <row r="283" spans="2:24" x14ac:dyDescent="0.3">
      <c r="B283" s="10" t="str">
        <f t="shared" ca="1" si="8"/>
        <v>HCP_138153</v>
      </c>
      <c r="C283" s="11" t="s">
        <v>8</v>
      </c>
      <c r="D283" s="12">
        <v>44109</v>
      </c>
      <c r="E283" s="12">
        <v>44559</v>
      </c>
      <c r="F283" s="11">
        <v>61</v>
      </c>
      <c r="G283" s="11">
        <v>13</v>
      </c>
      <c r="H283" s="11">
        <v>14</v>
      </c>
      <c r="I283" s="11" t="s">
        <v>19</v>
      </c>
      <c r="J283" s="13" t="s">
        <v>16</v>
      </c>
      <c r="K283" s="10">
        <f>Table1[[#This Row],[Date of last Dispense]]-Table1[[#This Row],[Date of 1st Dispense]]</f>
        <v>450</v>
      </c>
      <c r="L283" s="10" t="str">
        <f t="shared" si="9"/>
        <v>12+ Months</v>
      </c>
      <c r="M283"/>
      <c r="N283" s="1"/>
      <c r="O283" s="8"/>
      <c r="P283" s="9"/>
      <c r="Q283"/>
      <c r="R283"/>
      <c r="V283"/>
      <c r="W283"/>
      <c r="X283"/>
    </row>
    <row r="284" spans="2:24" x14ac:dyDescent="0.3">
      <c r="B284" s="10" t="str">
        <f t="shared" ca="1" si="8"/>
        <v>HCP_814269</v>
      </c>
      <c r="C284" s="11" t="s">
        <v>8</v>
      </c>
      <c r="D284" s="12">
        <v>44109</v>
      </c>
      <c r="E284" s="12">
        <v>44295</v>
      </c>
      <c r="F284" s="11">
        <v>14</v>
      </c>
      <c r="G284" s="11">
        <v>10</v>
      </c>
      <c r="H284" s="11">
        <v>9</v>
      </c>
      <c r="I284" s="11" t="s">
        <v>19</v>
      </c>
      <c r="J284" s="13" t="s">
        <v>16</v>
      </c>
      <c r="K284" s="10">
        <f>Table1[[#This Row],[Date of last Dispense]]-Table1[[#This Row],[Date of 1st Dispense]]</f>
        <v>186</v>
      </c>
      <c r="L284" s="10" t="str">
        <f t="shared" si="9"/>
        <v>6-12 Months</v>
      </c>
      <c r="M284"/>
      <c r="N284" s="1"/>
      <c r="O284" s="8"/>
      <c r="P284" s="9"/>
      <c r="Q284"/>
      <c r="R284"/>
      <c r="V284"/>
      <c r="W284"/>
      <c r="X284"/>
    </row>
    <row r="285" spans="2:24" x14ac:dyDescent="0.3">
      <c r="B285" s="10" t="str">
        <f t="shared" ca="1" si="8"/>
        <v>HCP_213920</v>
      </c>
      <c r="C285" s="11" t="s">
        <v>8</v>
      </c>
      <c r="D285" s="12">
        <v>44108</v>
      </c>
      <c r="E285" s="12">
        <v>44292</v>
      </c>
      <c r="F285" s="11">
        <v>62</v>
      </c>
      <c r="G285" s="11">
        <v>42</v>
      </c>
      <c r="H285" s="11">
        <v>21</v>
      </c>
      <c r="I285" s="11" t="s">
        <v>15</v>
      </c>
      <c r="J285" s="13" t="s">
        <v>16</v>
      </c>
      <c r="K285" s="10">
        <f>Table1[[#This Row],[Date of last Dispense]]-Table1[[#This Row],[Date of 1st Dispense]]</f>
        <v>184</v>
      </c>
      <c r="L285" s="10" t="str">
        <f t="shared" si="9"/>
        <v>6-12 Months</v>
      </c>
      <c r="M285"/>
      <c r="N285" s="1"/>
      <c r="O285" s="8"/>
      <c r="P285" s="9"/>
      <c r="Q285"/>
      <c r="R285"/>
      <c r="V285"/>
      <c r="W285"/>
      <c r="X285"/>
    </row>
    <row r="286" spans="2:24" x14ac:dyDescent="0.3">
      <c r="B286" s="10" t="str">
        <f t="shared" ca="1" si="8"/>
        <v>HCP_212326</v>
      </c>
      <c r="C286" s="11" t="s">
        <v>28</v>
      </c>
      <c r="D286" s="12">
        <v>44105</v>
      </c>
      <c r="E286" s="12">
        <v>44825</v>
      </c>
      <c r="F286" s="11">
        <v>19</v>
      </c>
      <c r="G286" s="11">
        <v>28</v>
      </c>
      <c r="H286" s="11">
        <v>7</v>
      </c>
      <c r="I286" s="11" t="s">
        <v>19</v>
      </c>
      <c r="J286" s="13" t="s">
        <v>10</v>
      </c>
      <c r="K286" s="10">
        <f>Table1[[#This Row],[Date of last Dispense]]-Table1[[#This Row],[Date of 1st Dispense]]</f>
        <v>720</v>
      </c>
      <c r="L286" s="10" t="str">
        <f t="shared" si="9"/>
        <v>12+ Months</v>
      </c>
      <c r="M286"/>
      <c r="N286" s="1"/>
      <c r="O286" s="8"/>
      <c r="P286" s="9"/>
      <c r="Q286"/>
      <c r="R286"/>
      <c r="V286"/>
      <c r="W286"/>
      <c r="X286"/>
    </row>
    <row r="287" spans="2:24" x14ac:dyDescent="0.3">
      <c r="B287" s="10" t="str">
        <f t="shared" ca="1" si="8"/>
        <v>HCP_404053</v>
      </c>
      <c r="C287" s="11" t="s">
        <v>8</v>
      </c>
      <c r="D287" s="12">
        <v>44104</v>
      </c>
      <c r="E287" s="12">
        <v>44287</v>
      </c>
      <c r="F287" s="11">
        <v>68</v>
      </c>
      <c r="G287" s="11">
        <v>23</v>
      </c>
      <c r="H287" s="11">
        <v>10</v>
      </c>
      <c r="I287" s="11" t="s">
        <v>9</v>
      </c>
      <c r="J287" s="13" t="s">
        <v>16</v>
      </c>
      <c r="K287" s="10">
        <f>Table1[[#This Row],[Date of last Dispense]]-Table1[[#This Row],[Date of 1st Dispense]]</f>
        <v>183</v>
      </c>
      <c r="L287" s="10" t="str">
        <f t="shared" si="9"/>
        <v>6-12 Months</v>
      </c>
      <c r="M287"/>
      <c r="N287" s="1"/>
      <c r="O287" s="8"/>
      <c r="P287" s="9"/>
      <c r="Q287"/>
      <c r="R287"/>
      <c r="V287"/>
      <c r="W287"/>
      <c r="X287"/>
    </row>
    <row r="288" spans="2:24" x14ac:dyDescent="0.3">
      <c r="B288" s="10" t="str">
        <f t="shared" ca="1" si="8"/>
        <v>HCP_210119</v>
      </c>
      <c r="C288" s="11" t="s">
        <v>17</v>
      </c>
      <c r="D288" s="12">
        <v>44242</v>
      </c>
      <c r="E288" s="12">
        <v>44826</v>
      </c>
      <c r="F288" s="11">
        <v>62</v>
      </c>
      <c r="G288" s="11">
        <v>31</v>
      </c>
      <c r="H288" s="11">
        <v>11</v>
      </c>
      <c r="I288" s="11" t="s">
        <v>15</v>
      </c>
      <c r="J288" s="13" t="s">
        <v>10</v>
      </c>
      <c r="K288" s="10">
        <f>Table1[[#This Row],[Date of last Dispense]]-Table1[[#This Row],[Date of 1st Dispense]]</f>
        <v>584</v>
      </c>
      <c r="L288" s="10" t="str">
        <f t="shared" si="9"/>
        <v>12+ Months</v>
      </c>
      <c r="M288"/>
      <c r="N288" s="1"/>
      <c r="O288" s="8"/>
      <c r="P288" s="9"/>
      <c r="Q288"/>
      <c r="R288"/>
      <c r="V288"/>
      <c r="W288"/>
      <c r="X288"/>
    </row>
    <row r="289" spans="2:24" x14ac:dyDescent="0.3">
      <c r="B289" s="10" t="str">
        <f t="shared" ca="1" si="8"/>
        <v>HCP_125868</v>
      </c>
      <c r="C289" s="11" t="s">
        <v>8</v>
      </c>
      <c r="D289" s="12">
        <v>44055</v>
      </c>
      <c r="E289" s="12">
        <v>44823</v>
      </c>
      <c r="F289" s="11">
        <v>31</v>
      </c>
      <c r="G289" s="11">
        <v>3</v>
      </c>
      <c r="H289" s="11">
        <v>6</v>
      </c>
      <c r="I289" s="11" t="s">
        <v>15</v>
      </c>
      <c r="J289" s="13" t="s">
        <v>10</v>
      </c>
      <c r="K289" s="10">
        <f>Table1[[#This Row],[Date of last Dispense]]-Table1[[#This Row],[Date of 1st Dispense]]</f>
        <v>768</v>
      </c>
      <c r="L289" s="10" t="str">
        <f t="shared" si="9"/>
        <v>12+ Months</v>
      </c>
      <c r="M289"/>
      <c r="N289" s="1"/>
      <c r="O289" s="8"/>
      <c r="P289" s="9"/>
      <c r="Q289"/>
      <c r="R289"/>
      <c r="V289"/>
      <c r="W289"/>
      <c r="X289"/>
    </row>
    <row r="290" spans="2:24" x14ac:dyDescent="0.3">
      <c r="B290" s="10" t="str">
        <f t="shared" ca="1" si="8"/>
        <v>HCP_650040</v>
      </c>
      <c r="C290" s="11" t="s">
        <v>8</v>
      </c>
      <c r="D290" s="12">
        <v>44152</v>
      </c>
      <c r="E290" s="12">
        <v>44816</v>
      </c>
      <c r="F290" s="11">
        <v>54</v>
      </c>
      <c r="G290" s="11">
        <v>22</v>
      </c>
      <c r="H290" s="11">
        <v>22</v>
      </c>
      <c r="I290" s="11" t="s">
        <v>9</v>
      </c>
      <c r="J290" s="13" t="s">
        <v>10</v>
      </c>
      <c r="K290" s="10">
        <f>Table1[[#This Row],[Date of last Dispense]]-Table1[[#This Row],[Date of 1st Dispense]]</f>
        <v>664</v>
      </c>
      <c r="L290" s="10" t="str">
        <f t="shared" si="9"/>
        <v>12+ Months</v>
      </c>
      <c r="M290"/>
      <c r="N290" s="1"/>
      <c r="O290" s="8"/>
      <c r="P290" s="9"/>
      <c r="Q290"/>
      <c r="R290"/>
      <c r="V290"/>
      <c r="W290"/>
      <c r="X290"/>
    </row>
    <row r="291" spans="2:24" x14ac:dyDescent="0.3">
      <c r="B291" s="10" t="str">
        <f t="shared" ca="1" si="8"/>
        <v>HCP_909518</v>
      </c>
      <c r="C291" s="11" t="s">
        <v>8</v>
      </c>
      <c r="D291" s="12">
        <v>44102</v>
      </c>
      <c r="E291" s="12">
        <v>44816</v>
      </c>
      <c r="F291" s="11">
        <v>5</v>
      </c>
      <c r="G291" s="11">
        <v>45</v>
      </c>
      <c r="H291" s="11">
        <v>10</v>
      </c>
      <c r="I291" s="11" t="s">
        <v>19</v>
      </c>
      <c r="J291" s="13" t="s">
        <v>10</v>
      </c>
      <c r="K291" s="10">
        <f>Table1[[#This Row],[Date of last Dispense]]-Table1[[#This Row],[Date of 1st Dispense]]</f>
        <v>714</v>
      </c>
      <c r="L291" s="10" t="str">
        <f t="shared" si="9"/>
        <v>12+ Months</v>
      </c>
      <c r="M291"/>
      <c r="N291" s="1"/>
      <c r="O291" s="8"/>
      <c r="P291" s="9"/>
      <c r="Q291"/>
      <c r="R291"/>
      <c r="V291"/>
      <c r="W291"/>
      <c r="X291"/>
    </row>
    <row r="292" spans="2:24" x14ac:dyDescent="0.3">
      <c r="B292" s="10" t="str">
        <f t="shared" ca="1" si="8"/>
        <v>HCP_103948</v>
      </c>
      <c r="C292" s="11" t="s">
        <v>8</v>
      </c>
      <c r="D292" s="12">
        <v>44102</v>
      </c>
      <c r="E292" s="12">
        <v>44819</v>
      </c>
      <c r="F292" s="11">
        <v>28</v>
      </c>
      <c r="G292" s="11">
        <v>1</v>
      </c>
      <c r="H292" s="11">
        <v>25</v>
      </c>
      <c r="I292" s="11" t="s">
        <v>19</v>
      </c>
      <c r="J292" s="13" t="s">
        <v>10</v>
      </c>
      <c r="K292" s="10">
        <f>Table1[[#This Row],[Date of last Dispense]]-Table1[[#This Row],[Date of 1st Dispense]]</f>
        <v>717</v>
      </c>
      <c r="L292" s="10" t="str">
        <f t="shared" si="9"/>
        <v>12+ Months</v>
      </c>
      <c r="M292"/>
      <c r="N292" s="1"/>
      <c r="O292" s="8"/>
      <c r="P292" s="9"/>
      <c r="Q292"/>
      <c r="R292"/>
      <c r="V292"/>
      <c r="W292"/>
      <c r="X292"/>
    </row>
    <row r="293" spans="2:24" x14ac:dyDescent="0.3">
      <c r="B293" s="10" t="str">
        <f t="shared" ca="1" si="8"/>
        <v>HCP_274391</v>
      </c>
      <c r="C293" s="11" t="s">
        <v>8</v>
      </c>
      <c r="D293" s="12">
        <v>44098</v>
      </c>
      <c r="E293" s="12">
        <v>44819</v>
      </c>
      <c r="F293" s="11">
        <v>31</v>
      </c>
      <c r="G293" s="11">
        <v>2</v>
      </c>
      <c r="H293" s="11">
        <v>7</v>
      </c>
      <c r="I293" s="11" t="s">
        <v>13</v>
      </c>
      <c r="J293" s="13" t="s">
        <v>10</v>
      </c>
      <c r="K293" s="10">
        <f>Table1[[#This Row],[Date of last Dispense]]-Table1[[#This Row],[Date of 1st Dispense]]</f>
        <v>721</v>
      </c>
      <c r="L293" s="10" t="str">
        <f t="shared" si="9"/>
        <v>12+ Months</v>
      </c>
      <c r="M293"/>
      <c r="N293" s="1"/>
      <c r="O293" s="8"/>
      <c r="P293" s="9"/>
      <c r="Q293"/>
      <c r="R293"/>
      <c r="V293"/>
      <c r="W293"/>
      <c r="X293"/>
    </row>
    <row r="294" spans="2:24" x14ac:dyDescent="0.3">
      <c r="B294" s="10" t="str">
        <f t="shared" ca="1" si="8"/>
        <v>HCP_299019</v>
      </c>
      <c r="C294" s="11" t="s">
        <v>8</v>
      </c>
      <c r="D294" s="12">
        <v>44098</v>
      </c>
      <c r="E294" s="12">
        <v>44098</v>
      </c>
      <c r="F294" s="11">
        <v>43</v>
      </c>
      <c r="G294" s="11">
        <v>12</v>
      </c>
      <c r="H294" s="11">
        <v>6</v>
      </c>
      <c r="I294" s="11" t="s">
        <v>9</v>
      </c>
      <c r="J294" s="13" t="s">
        <v>16</v>
      </c>
      <c r="K294" s="10">
        <f>Table1[[#This Row],[Date of last Dispense]]-Table1[[#This Row],[Date of 1st Dispense]]</f>
        <v>0</v>
      </c>
      <c r="L294" s="10" t="str">
        <f t="shared" si="9"/>
        <v>0-3 Months</v>
      </c>
      <c r="M294"/>
      <c r="N294" s="1"/>
      <c r="O294" s="8"/>
      <c r="P294" s="9"/>
      <c r="Q294"/>
      <c r="R294"/>
      <c r="V294"/>
      <c r="W294"/>
      <c r="X294"/>
    </row>
    <row r="295" spans="2:24" x14ac:dyDescent="0.3">
      <c r="B295" s="10" t="str">
        <f t="shared" ca="1" si="8"/>
        <v>HCP_389658</v>
      </c>
      <c r="C295" s="11" t="s">
        <v>8</v>
      </c>
      <c r="D295" s="12">
        <v>44097</v>
      </c>
      <c r="E295" s="12">
        <v>44826</v>
      </c>
      <c r="F295" s="11">
        <v>42</v>
      </c>
      <c r="G295" s="11">
        <v>8</v>
      </c>
      <c r="H295" s="11">
        <v>13</v>
      </c>
      <c r="I295" s="11" t="s">
        <v>9</v>
      </c>
      <c r="J295" s="13" t="s">
        <v>10</v>
      </c>
      <c r="K295" s="10">
        <f>Table1[[#This Row],[Date of last Dispense]]-Table1[[#This Row],[Date of 1st Dispense]]</f>
        <v>729</v>
      </c>
      <c r="L295" s="10" t="str">
        <f t="shared" si="9"/>
        <v>12+ Months</v>
      </c>
      <c r="M295"/>
      <c r="N295" s="1"/>
      <c r="O295" s="8"/>
      <c r="P295" s="9"/>
      <c r="Q295"/>
      <c r="R295"/>
      <c r="V295"/>
      <c r="W295"/>
      <c r="X295"/>
    </row>
    <row r="296" spans="2:24" x14ac:dyDescent="0.3">
      <c r="B296" s="10" t="str">
        <f t="shared" ca="1" si="8"/>
        <v>HCP_963078</v>
      </c>
      <c r="C296" s="11" t="s">
        <v>8</v>
      </c>
      <c r="D296" s="12">
        <v>44097</v>
      </c>
      <c r="E296" s="12">
        <v>44824</v>
      </c>
      <c r="F296" s="11">
        <v>43</v>
      </c>
      <c r="G296" s="11">
        <v>14</v>
      </c>
      <c r="H296" s="11">
        <v>12</v>
      </c>
      <c r="I296" s="11" t="s">
        <v>19</v>
      </c>
      <c r="J296" s="13" t="s">
        <v>10</v>
      </c>
      <c r="K296" s="10">
        <f>Table1[[#This Row],[Date of last Dispense]]-Table1[[#This Row],[Date of 1st Dispense]]</f>
        <v>727</v>
      </c>
      <c r="L296" s="10" t="str">
        <f t="shared" si="9"/>
        <v>12+ Months</v>
      </c>
      <c r="M296"/>
      <c r="N296" s="1"/>
      <c r="O296" s="8"/>
      <c r="P296" s="9"/>
      <c r="Q296"/>
      <c r="R296"/>
      <c r="V296"/>
      <c r="W296"/>
      <c r="X296"/>
    </row>
    <row r="297" spans="2:24" x14ac:dyDescent="0.3">
      <c r="B297" s="10" t="str">
        <f t="shared" ca="1" si="8"/>
        <v>HCP_424598</v>
      </c>
      <c r="C297" s="11" t="s">
        <v>8</v>
      </c>
      <c r="D297" s="12">
        <v>44096</v>
      </c>
      <c r="E297" s="12">
        <v>44805</v>
      </c>
      <c r="F297" s="11">
        <v>14</v>
      </c>
      <c r="G297" s="11">
        <v>44</v>
      </c>
      <c r="H297" s="11">
        <v>29</v>
      </c>
      <c r="I297" s="11" t="s">
        <v>19</v>
      </c>
      <c r="J297" s="13" t="s">
        <v>10</v>
      </c>
      <c r="K297" s="10">
        <f>Table1[[#This Row],[Date of last Dispense]]-Table1[[#This Row],[Date of 1st Dispense]]</f>
        <v>709</v>
      </c>
      <c r="L297" s="10" t="str">
        <f t="shared" si="9"/>
        <v>12+ Months</v>
      </c>
      <c r="M297"/>
      <c r="N297" s="1"/>
      <c r="O297" s="8"/>
      <c r="P297" s="9"/>
      <c r="Q297"/>
      <c r="R297"/>
      <c r="V297"/>
      <c r="W297"/>
      <c r="X297"/>
    </row>
    <row r="298" spans="2:24" x14ac:dyDescent="0.3">
      <c r="B298" s="10" t="str">
        <f t="shared" ca="1" si="8"/>
        <v>HCP_915853</v>
      </c>
      <c r="C298" s="11" t="s">
        <v>8</v>
      </c>
      <c r="D298" s="12">
        <v>44096</v>
      </c>
      <c r="E298" s="12">
        <v>44166</v>
      </c>
      <c r="F298" s="11">
        <v>15</v>
      </c>
      <c r="G298" s="11">
        <v>33</v>
      </c>
      <c r="H298" s="11">
        <v>27</v>
      </c>
      <c r="I298" s="11" t="s">
        <v>13</v>
      </c>
      <c r="J298" s="13" t="s">
        <v>16</v>
      </c>
      <c r="K298" s="10">
        <f>Table1[[#This Row],[Date of last Dispense]]-Table1[[#This Row],[Date of 1st Dispense]]</f>
        <v>70</v>
      </c>
      <c r="L298" s="10" t="str">
        <f t="shared" si="9"/>
        <v>0-3 Months</v>
      </c>
      <c r="M298"/>
      <c r="N298" s="1"/>
      <c r="O298" s="8"/>
      <c r="P298" s="9"/>
      <c r="Q298"/>
      <c r="R298"/>
      <c r="V298"/>
      <c r="W298"/>
      <c r="X298"/>
    </row>
    <row r="299" spans="2:24" x14ac:dyDescent="0.3">
      <c r="B299" s="10" t="str">
        <f t="shared" ca="1" si="8"/>
        <v>HCP_267732</v>
      </c>
      <c r="C299" s="11" t="s">
        <v>8</v>
      </c>
      <c r="D299" s="12">
        <v>44096</v>
      </c>
      <c r="E299" s="12">
        <v>44454</v>
      </c>
      <c r="F299" s="11">
        <v>59</v>
      </c>
      <c r="G299" s="11">
        <v>20</v>
      </c>
      <c r="H299" s="11">
        <v>10</v>
      </c>
      <c r="I299" s="11" t="s">
        <v>19</v>
      </c>
      <c r="J299" s="13" t="s">
        <v>16</v>
      </c>
      <c r="K299" s="10">
        <f>Table1[[#This Row],[Date of last Dispense]]-Table1[[#This Row],[Date of 1st Dispense]]</f>
        <v>358</v>
      </c>
      <c r="L299" s="10" t="str">
        <f t="shared" si="9"/>
        <v>6-12 Months</v>
      </c>
      <c r="M299"/>
      <c r="N299" s="1"/>
      <c r="O299" s="8"/>
      <c r="P299" s="9"/>
      <c r="Q299"/>
      <c r="R299"/>
      <c r="V299"/>
      <c r="W299"/>
      <c r="X299"/>
    </row>
    <row r="300" spans="2:24" x14ac:dyDescent="0.3">
      <c r="B300" s="10" t="str">
        <f t="shared" ca="1" si="8"/>
        <v>HCP_694881</v>
      </c>
      <c r="C300" s="11" t="s">
        <v>12</v>
      </c>
      <c r="D300" s="12">
        <v>44095</v>
      </c>
      <c r="E300" s="12">
        <v>44811</v>
      </c>
      <c r="F300" s="11">
        <v>42</v>
      </c>
      <c r="G300" s="11">
        <v>33</v>
      </c>
      <c r="H300" s="11">
        <v>16</v>
      </c>
      <c r="I300" s="11" t="s">
        <v>13</v>
      </c>
      <c r="J300" s="13" t="s">
        <v>10</v>
      </c>
      <c r="K300" s="10">
        <f>Table1[[#This Row],[Date of last Dispense]]-Table1[[#This Row],[Date of 1st Dispense]]</f>
        <v>716</v>
      </c>
      <c r="L300" s="10" t="str">
        <f t="shared" si="9"/>
        <v>12+ Months</v>
      </c>
      <c r="M300"/>
      <c r="N300" s="1"/>
      <c r="O300" s="8"/>
      <c r="P300" s="9"/>
      <c r="Q300"/>
      <c r="R300"/>
      <c r="V300"/>
      <c r="W300"/>
      <c r="X300"/>
    </row>
    <row r="301" spans="2:24" x14ac:dyDescent="0.3">
      <c r="B301" s="10" t="str">
        <f t="shared" ca="1" si="8"/>
        <v>HCP_614712</v>
      </c>
      <c r="C301" s="11" t="s">
        <v>8</v>
      </c>
      <c r="D301" s="12">
        <v>44095</v>
      </c>
      <c r="E301" s="12">
        <v>44825</v>
      </c>
      <c r="F301" s="11">
        <v>67</v>
      </c>
      <c r="G301" s="11">
        <v>33</v>
      </c>
      <c r="H301" s="11">
        <v>2</v>
      </c>
      <c r="I301" s="11" t="s">
        <v>19</v>
      </c>
      <c r="J301" s="13" t="s">
        <v>10</v>
      </c>
      <c r="K301" s="10">
        <f>Table1[[#This Row],[Date of last Dispense]]-Table1[[#This Row],[Date of 1st Dispense]]</f>
        <v>730</v>
      </c>
      <c r="L301" s="10" t="str">
        <f t="shared" si="9"/>
        <v>12+ Months</v>
      </c>
      <c r="M301"/>
      <c r="N301" s="1"/>
      <c r="O301" s="8"/>
      <c r="P301" s="9"/>
      <c r="Q301"/>
      <c r="R301"/>
      <c r="V301"/>
      <c r="W301"/>
      <c r="X301"/>
    </row>
    <row r="302" spans="2:24" x14ac:dyDescent="0.3">
      <c r="B302" s="10" t="str">
        <f t="shared" ca="1" si="8"/>
        <v>HCP_482955</v>
      </c>
      <c r="C302" s="11" t="s">
        <v>8</v>
      </c>
      <c r="D302" s="12">
        <v>44091</v>
      </c>
      <c r="E302" s="12">
        <v>44543</v>
      </c>
      <c r="F302" s="11">
        <v>70</v>
      </c>
      <c r="G302" s="11">
        <v>36</v>
      </c>
      <c r="H302" s="11">
        <v>16</v>
      </c>
      <c r="I302" s="11" t="s">
        <v>14</v>
      </c>
      <c r="J302" s="13" t="s">
        <v>16</v>
      </c>
      <c r="K302" s="10">
        <f>Table1[[#This Row],[Date of last Dispense]]-Table1[[#This Row],[Date of 1st Dispense]]</f>
        <v>452</v>
      </c>
      <c r="L302" s="10" t="str">
        <f t="shared" si="9"/>
        <v>12+ Months</v>
      </c>
      <c r="M302"/>
      <c r="N302" s="1"/>
      <c r="O302" s="8"/>
      <c r="P302" s="9"/>
      <c r="Q302"/>
      <c r="R302"/>
      <c r="V302"/>
      <c r="W302"/>
      <c r="X302"/>
    </row>
    <row r="303" spans="2:24" x14ac:dyDescent="0.3">
      <c r="B303" s="10" t="str">
        <f t="shared" ca="1" si="8"/>
        <v>HCP_109606</v>
      </c>
      <c r="C303" s="11" t="s">
        <v>8</v>
      </c>
      <c r="D303" s="12">
        <v>44090</v>
      </c>
      <c r="E303" s="12">
        <v>44824</v>
      </c>
      <c r="F303" s="11">
        <v>40</v>
      </c>
      <c r="G303" s="11">
        <v>42</v>
      </c>
      <c r="H303" s="11">
        <v>24</v>
      </c>
      <c r="I303" s="11" t="s">
        <v>14</v>
      </c>
      <c r="J303" s="13" t="s">
        <v>10</v>
      </c>
      <c r="K303" s="10">
        <f>Table1[[#This Row],[Date of last Dispense]]-Table1[[#This Row],[Date of 1st Dispense]]</f>
        <v>734</v>
      </c>
      <c r="L303" s="10" t="str">
        <f t="shared" si="9"/>
        <v>12+ Months</v>
      </c>
      <c r="M303"/>
      <c r="N303" s="1"/>
      <c r="O303" s="8"/>
      <c r="P303" s="9"/>
      <c r="Q303"/>
      <c r="R303"/>
      <c r="V303"/>
      <c r="W303"/>
      <c r="X303"/>
    </row>
    <row r="304" spans="2:24" x14ac:dyDescent="0.3">
      <c r="B304" s="10" t="str">
        <f t="shared" ca="1" si="8"/>
        <v>HCP_964014</v>
      </c>
      <c r="C304" s="11" t="s">
        <v>23</v>
      </c>
      <c r="D304" s="12">
        <v>44084</v>
      </c>
      <c r="E304" s="12">
        <v>44585</v>
      </c>
      <c r="F304" s="11">
        <v>5</v>
      </c>
      <c r="G304" s="11">
        <v>4</v>
      </c>
      <c r="H304" s="11">
        <v>27</v>
      </c>
      <c r="I304" s="11" t="s">
        <v>14</v>
      </c>
      <c r="J304" s="13" t="s">
        <v>16</v>
      </c>
      <c r="K304" s="10">
        <f>Table1[[#This Row],[Date of last Dispense]]-Table1[[#This Row],[Date of 1st Dispense]]</f>
        <v>501</v>
      </c>
      <c r="L304" s="10" t="str">
        <f t="shared" si="9"/>
        <v>12+ Months</v>
      </c>
      <c r="M304"/>
      <c r="N304" s="1"/>
      <c r="O304" s="8"/>
      <c r="P304" s="9"/>
      <c r="Q304"/>
      <c r="R304"/>
      <c r="V304"/>
      <c r="W304"/>
      <c r="X304"/>
    </row>
    <row r="305" spans="2:24" x14ac:dyDescent="0.3">
      <c r="B305" s="10" t="str">
        <f t="shared" ca="1" si="8"/>
        <v>HCP_315889</v>
      </c>
      <c r="C305" s="11" t="s">
        <v>8</v>
      </c>
      <c r="D305" s="12">
        <v>44083</v>
      </c>
      <c r="E305" s="12">
        <v>44288</v>
      </c>
      <c r="F305" s="11">
        <v>56</v>
      </c>
      <c r="G305" s="11">
        <v>44</v>
      </c>
      <c r="H305" s="11">
        <v>19</v>
      </c>
      <c r="I305" s="11" t="s">
        <v>15</v>
      </c>
      <c r="J305" s="13" t="s">
        <v>16</v>
      </c>
      <c r="K305" s="10">
        <f>Table1[[#This Row],[Date of last Dispense]]-Table1[[#This Row],[Date of 1st Dispense]]</f>
        <v>205</v>
      </c>
      <c r="L305" s="10" t="str">
        <f t="shared" si="9"/>
        <v>6-12 Months</v>
      </c>
      <c r="M305"/>
      <c r="N305" s="1"/>
      <c r="O305" s="8"/>
      <c r="P305" s="9"/>
      <c r="Q305"/>
      <c r="R305"/>
      <c r="V305"/>
      <c r="W305"/>
      <c r="X305"/>
    </row>
    <row r="306" spans="2:24" x14ac:dyDescent="0.3">
      <c r="B306" s="10" t="str">
        <f t="shared" ca="1" si="8"/>
        <v>HCP_921484</v>
      </c>
      <c r="C306" s="11" t="s">
        <v>17</v>
      </c>
      <c r="D306" s="12">
        <v>44083</v>
      </c>
      <c r="E306" s="12">
        <v>44235</v>
      </c>
      <c r="F306" s="11">
        <v>40</v>
      </c>
      <c r="G306" s="11">
        <v>36</v>
      </c>
      <c r="H306" s="11">
        <v>5</v>
      </c>
      <c r="I306" s="11" t="s">
        <v>13</v>
      </c>
      <c r="J306" s="13" t="s">
        <v>16</v>
      </c>
      <c r="K306" s="10">
        <f>Table1[[#This Row],[Date of last Dispense]]-Table1[[#This Row],[Date of 1st Dispense]]</f>
        <v>152</v>
      </c>
      <c r="L306" s="10" t="str">
        <f t="shared" si="9"/>
        <v>3-6 Months</v>
      </c>
      <c r="M306"/>
      <c r="N306" s="1"/>
      <c r="O306" s="8"/>
      <c r="P306" s="9"/>
      <c r="Q306"/>
      <c r="R306"/>
      <c r="V306"/>
      <c r="W306"/>
      <c r="X306"/>
    </row>
    <row r="307" spans="2:24" x14ac:dyDescent="0.3">
      <c r="B307" s="10" t="str">
        <f t="shared" ca="1" si="8"/>
        <v>HCP_682875</v>
      </c>
      <c r="C307" s="11" t="s">
        <v>8</v>
      </c>
      <c r="D307" s="12">
        <v>44082</v>
      </c>
      <c r="E307" s="12">
        <v>44804</v>
      </c>
      <c r="F307" s="11">
        <v>42</v>
      </c>
      <c r="G307" s="11">
        <v>18</v>
      </c>
      <c r="H307" s="11">
        <v>14</v>
      </c>
      <c r="I307" s="11" t="s">
        <v>14</v>
      </c>
      <c r="J307" s="13" t="s">
        <v>10</v>
      </c>
      <c r="K307" s="10">
        <f>Table1[[#This Row],[Date of last Dispense]]-Table1[[#This Row],[Date of 1st Dispense]]</f>
        <v>722</v>
      </c>
      <c r="L307" s="10" t="str">
        <f t="shared" si="9"/>
        <v>12+ Months</v>
      </c>
      <c r="M307"/>
      <c r="N307" s="1"/>
      <c r="O307" s="8"/>
      <c r="P307" s="9"/>
      <c r="Q307"/>
      <c r="R307"/>
      <c r="V307"/>
      <c r="W307"/>
      <c r="X307"/>
    </row>
    <row r="308" spans="2:24" x14ac:dyDescent="0.3">
      <c r="B308" s="10" t="str">
        <f t="shared" ca="1" si="8"/>
        <v>HCP_202700</v>
      </c>
      <c r="C308" s="11" t="s">
        <v>8</v>
      </c>
      <c r="D308" s="12">
        <v>44082</v>
      </c>
      <c r="E308" s="12">
        <v>44817</v>
      </c>
      <c r="F308" s="11">
        <v>8</v>
      </c>
      <c r="G308" s="11">
        <v>13</v>
      </c>
      <c r="H308" s="11">
        <v>22</v>
      </c>
      <c r="I308" s="11" t="s">
        <v>13</v>
      </c>
      <c r="J308" s="13" t="s">
        <v>10</v>
      </c>
      <c r="K308" s="10">
        <f>Table1[[#This Row],[Date of last Dispense]]-Table1[[#This Row],[Date of 1st Dispense]]</f>
        <v>735</v>
      </c>
      <c r="L308" s="10" t="str">
        <f t="shared" si="9"/>
        <v>12+ Months</v>
      </c>
      <c r="M308"/>
      <c r="N308" s="1"/>
      <c r="O308" s="8"/>
      <c r="P308" s="9"/>
      <c r="Q308"/>
      <c r="R308"/>
      <c r="V308"/>
      <c r="W308"/>
      <c r="X308"/>
    </row>
    <row r="309" spans="2:24" x14ac:dyDescent="0.3">
      <c r="B309" s="10" t="str">
        <f t="shared" ca="1" si="8"/>
        <v>HCP_469076</v>
      </c>
      <c r="C309" s="11" t="s">
        <v>8</v>
      </c>
      <c r="D309" s="12">
        <v>44462</v>
      </c>
      <c r="E309" s="12">
        <v>44818</v>
      </c>
      <c r="F309" s="11">
        <v>13</v>
      </c>
      <c r="G309" s="11">
        <v>39</v>
      </c>
      <c r="H309" s="11">
        <v>2</v>
      </c>
      <c r="I309" s="11" t="s">
        <v>19</v>
      </c>
      <c r="J309" s="13" t="s">
        <v>10</v>
      </c>
      <c r="K309" s="10">
        <f>Table1[[#This Row],[Date of last Dispense]]-Table1[[#This Row],[Date of 1st Dispense]]</f>
        <v>356</v>
      </c>
      <c r="L309" s="10" t="str">
        <f t="shared" si="9"/>
        <v>6-12 Months</v>
      </c>
      <c r="M309"/>
      <c r="N309" s="1"/>
      <c r="O309" s="8"/>
      <c r="P309" s="9"/>
      <c r="Q309"/>
      <c r="R309"/>
      <c r="V309"/>
      <c r="W309"/>
      <c r="X309"/>
    </row>
    <row r="310" spans="2:24" x14ac:dyDescent="0.3">
      <c r="B310" s="10" t="str">
        <f t="shared" ca="1" si="8"/>
        <v>HCP_802774</v>
      </c>
      <c r="C310" s="11" t="s">
        <v>8</v>
      </c>
      <c r="D310" s="12">
        <v>44081</v>
      </c>
      <c r="E310" s="12">
        <v>44816</v>
      </c>
      <c r="F310" s="11">
        <v>13</v>
      </c>
      <c r="G310" s="11">
        <v>26</v>
      </c>
      <c r="H310" s="11">
        <v>6</v>
      </c>
      <c r="I310" s="11" t="s">
        <v>15</v>
      </c>
      <c r="J310" s="13" t="s">
        <v>10</v>
      </c>
      <c r="K310" s="10">
        <f>Table1[[#This Row],[Date of last Dispense]]-Table1[[#This Row],[Date of 1st Dispense]]</f>
        <v>735</v>
      </c>
      <c r="L310" s="10" t="str">
        <f t="shared" si="9"/>
        <v>12+ Months</v>
      </c>
      <c r="M310"/>
      <c r="N310" s="1"/>
      <c r="O310" s="8"/>
      <c r="P310" s="9"/>
      <c r="Q310"/>
      <c r="R310"/>
      <c r="V310"/>
      <c r="W310"/>
      <c r="X310"/>
    </row>
    <row r="311" spans="2:24" x14ac:dyDescent="0.3">
      <c r="B311" s="10" t="str">
        <f t="shared" ca="1" si="8"/>
        <v>HCP_675852</v>
      </c>
      <c r="C311" s="11" t="s">
        <v>8</v>
      </c>
      <c r="D311" s="12">
        <v>44074</v>
      </c>
      <c r="E311" s="12">
        <v>44826</v>
      </c>
      <c r="F311" s="11">
        <v>58</v>
      </c>
      <c r="G311" s="11">
        <v>16</v>
      </c>
      <c r="H311" s="11">
        <v>14</v>
      </c>
      <c r="I311" s="11" t="s">
        <v>15</v>
      </c>
      <c r="J311" s="13" t="s">
        <v>10</v>
      </c>
      <c r="K311" s="10">
        <f>Table1[[#This Row],[Date of last Dispense]]-Table1[[#This Row],[Date of 1st Dispense]]</f>
        <v>752</v>
      </c>
      <c r="L311" s="10" t="str">
        <f t="shared" si="9"/>
        <v>12+ Months</v>
      </c>
      <c r="M311"/>
      <c r="N311" s="1"/>
      <c r="O311" s="8"/>
      <c r="P311" s="9"/>
      <c r="Q311"/>
      <c r="R311"/>
      <c r="V311"/>
      <c r="W311"/>
      <c r="X311"/>
    </row>
    <row r="312" spans="2:24" x14ac:dyDescent="0.3">
      <c r="B312" s="10" t="str">
        <f t="shared" ca="1" si="8"/>
        <v>HCP_973868</v>
      </c>
      <c r="C312" s="11" t="s">
        <v>17</v>
      </c>
      <c r="D312" s="12">
        <v>44069</v>
      </c>
      <c r="E312" s="12">
        <v>44151</v>
      </c>
      <c r="F312" s="11">
        <v>0</v>
      </c>
      <c r="G312" s="11">
        <v>6</v>
      </c>
      <c r="H312" s="11">
        <v>26</v>
      </c>
      <c r="I312" s="11" t="s">
        <v>15</v>
      </c>
      <c r="J312" s="13" t="s">
        <v>16</v>
      </c>
      <c r="K312" s="10">
        <f>Table1[[#This Row],[Date of last Dispense]]-Table1[[#This Row],[Date of 1st Dispense]]</f>
        <v>82</v>
      </c>
      <c r="L312" s="10" t="str">
        <f t="shared" si="9"/>
        <v>0-3 Months</v>
      </c>
      <c r="M312"/>
      <c r="N312" s="1"/>
      <c r="O312" s="8"/>
      <c r="P312" s="9"/>
      <c r="Q312"/>
      <c r="R312"/>
      <c r="V312"/>
      <c r="W312"/>
      <c r="X312"/>
    </row>
    <row r="313" spans="2:24" x14ac:dyDescent="0.3">
      <c r="B313" s="10" t="str">
        <f t="shared" ca="1" si="8"/>
        <v>HCP_163716</v>
      </c>
      <c r="C313" s="11" t="s">
        <v>8</v>
      </c>
      <c r="D313" s="12">
        <v>44068</v>
      </c>
      <c r="E313" s="12">
        <v>44438</v>
      </c>
      <c r="F313" s="11">
        <v>21</v>
      </c>
      <c r="G313" s="11">
        <v>46</v>
      </c>
      <c r="H313" s="11">
        <v>26</v>
      </c>
      <c r="I313" s="11" t="s">
        <v>13</v>
      </c>
      <c r="J313" s="13" t="s">
        <v>16</v>
      </c>
      <c r="K313" s="10">
        <f>Table1[[#This Row],[Date of last Dispense]]-Table1[[#This Row],[Date of 1st Dispense]]</f>
        <v>370</v>
      </c>
      <c r="L313" s="10" t="str">
        <f t="shared" si="9"/>
        <v>12+ Months</v>
      </c>
      <c r="M313"/>
      <c r="N313" s="1"/>
      <c r="O313" s="8"/>
      <c r="P313" s="9"/>
      <c r="Q313"/>
      <c r="R313"/>
      <c r="V313"/>
      <c r="W313"/>
      <c r="X313"/>
    </row>
    <row r="314" spans="2:24" x14ac:dyDescent="0.3">
      <c r="B314" s="10" t="str">
        <f t="shared" ca="1" si="8"/>
        <v>HCP_658799</v>
      </c>
      <c r="C314" s="11" t="s">
        <v>8</v>
      </c>
      <c r="D314" s="12">
        <v>44068</v>
      </c>
      <c r="E314" s="12">
        <v>44740</v>
      </c>
      <c r="F314" s="11">
        <v>64</v>
      </c>
      <c r="G314" s="11">
        <v>10</v>
      </c>
      <c r="H314" s="11">
        <v>19</v>
      </c>
      <c r="I314" s="11" t="s">
        <v>15</v>
      </c>
      <c r="J314" s="13" t="s">
        <v>10</v>
      </c>
      <c r="K314" s="10">
        <f>Table1[[#This Row],[Date of last Dispense]]-Table1[[#This Row],[Date of 1st Dispense]]</f>
        <v>672</v>
      </c>
      <c r="L314" s="10" t="str">
        <f t="shared" si="9"/>
        <v>12+ Months</v>
      </c>
      <c r="M314"/>
      <c r="N314" s="1"/>
      <c r="O314" s="8"/>
      <c r="P314" s="9"/>
      <c r="Q314"/>
      <c r="R314"/>
      <c r="V314"/>
      <c r="W314"/>
      <c r="X314"/>
    </row>
    <row r="315" spans="2:24" x14ac:dyDescent="0.3">
      <c r="B315" s="10" t="str">
        <f t="shared" ca="1" si="8"/>
        <v>HCP_216457</v>
      </c>
      <c r="C315" s="11" t="s">
        <v>8</v>
      </c>
      <c r="D315" s="12">
        <v>44068</v>
      </c>
      <c r="E315" s="12">
        <v>44529</v>
      </c>
      <c r="F315" s="11">
        <v>52</v>
      </c>
      <c r="G315" s="11">
        <v>16</v>
      </c>
      <c r="H315" s="11">
        <v>27</v>
      </c>
      <c r="I315" s="11" t="s">
        <v>9</v>
      </c>
      <c r="J315" s="13" t="s">
        <v>16</v>
      </c>
      <c r="K315" s="10">
        <f>Table1[[#This Row],[Date of last Dispense]]-Table1[[#This Row],[Date of 1st Dispense]]</f>
        <v>461</v>
      </c>
      <c r="L315" s="10" t="str">
        <f t="shared" si="9"/>
        <v>12+ Months</v>
      </c>
      <c r="M315"/>
      <c r="N315" s="1"/>
      <c r="O315" s="8"/>
      <c r="P315" s="9"/>
      <c r="Q315"/>
      <c r="R315"/>
      <c r="V315"/>
      <c r="W315"/>
      <c r="X315"/>
    </row>
    <row r="316" spans="2:24" x14ac:dyDescent="0.3">
      <c r="B316" s="10" t="str">
        <f t="shared" ca="1" si="8"/>
        <v>HCP_167319</v>
      </c>
      <c r="C316" s="11" t="s">
        <v>8</v>
      </c>
      <c r="D316" s="12">
        <v>44027</v>
      </c>
      <c r="E316" s="12">
        <v>44827</v>
      </c>
      <c r="F316" s="11">
        <v>29</v>
      </c>
      <c r="G316" s="11">
        <v>44</v>
      </c>
      <c r="H316" s="11">
        <v>25</v>
      </c>
      <c r="I316" s="11" t="s">
        <v>15</v>
      </c>
      <c r="J316" s="13" t="s">
        <v>10</v>
      </c>
      <c r="K316" s="10">
        <f>Table1[[#This Row],[Date of last Dispense]]-Table1[[#This Row],[Date of 1st Dispense]]</f>
        <v>800</v>
      </c>
      <c r="L316" s="10" t="str">
        <f t="shared" si="9"/>
        <v>12+ Months</v>
      </c>
      <c r="M316"/>
      <c r="N316" s="1"/>
      <c r="O316" s="8"/>
      <c r="P316" s="9"/>
      <c r="Q316"/>
      <c r="R316"/>
      <c r="V316"/>
      <c r="W316"/>
      <c r="X316"/>
    </row>
    <row r="317" spans="2:24" x14ac:dyDescent="0.3">
      <c r="B317" s="10" t="str">
        <f t="shared" ca="1" si="8"/>
        <v>HCP_451079</v>
      </c>
      <c r="C317" s="11" t="s">
        <v>17</v>
      </c>
      <c r="D317" s="12">
        <v>44067</v>
      </c>
      <c r="E317" s="12">
        <v>44825</v>
      </c>
      <c r="F317" s="11">
        <v>36</v>
      </c>
      <c r="G317" s="11">
        <v>12</v>
      </c>
      <c r="H317" s="11">
        <v>24</v>
      </c>
      <c r="I317" s="11" t="s">
        <v>19</v>
      </c>
      <c r="J317" s="13" t="s">
        <v>10</v>
      </c>
      <c r="K317" s="10">
        <f>Table1[[#This Row],[Date of last Dispense]]-Table1[[#This Row],[Date of 1st Dispense]]</f>
        <v>758</v>
      </c>
      <c r="L317" s="10" t="str">
        <f t="shared" si="9"/>
        <v>12+ Months</v>
      </c>
      <c r="M317"/>
      <c r="N317" s="1"/>
      <c r="O317" s="8"/>
      <c r="P317" s="9"/>
      <c r="Q317"/>
      <c r="R317"/>
      <c r="V317"/>
      <c r="W317"/>
      <c r="X317"/>
    </row>
    <row r="318" spans="2:24" x14ac:dyDescent="0.3">
      <c r="B318" s="10" t="str">
        <f t="shared" ca="1" si="8"/>
        <v>HCP_807122</v>
      </c>
      <c r="C318" s="11" t="s">
        <v>8</v>
      </c>
      <c r="D318" s="12">
        <v>44067</v>
      </c>
      <c r="E318" s="12">
        <v>44824</v>
      </c>
      <c r="F318" s="11">
        <v>21</v>
      </c>
      <c r="G318" s="11">
        <v>35</v>
      </c>
      <c r="H318" s="11">
        <v>1</v>
      </c>
      <c r="I318" s="11" t="s">
        <v>13</v>
      </c>
      <c r="J318" s="13" t="s">
        <v>10</v>
      </c>
      <c r="K318" s="10">
        <f>Table1[[#This Row],[Date of last Dispense]]-Table1[[#This Row],[Date of 1st Dispense]]</f>
        <v>757</v>
      </c>
      <c r="L318" s="10" t="str">
        <f t="shared" si="9"/>
        <v>12+ Months</v>
      </c>
      <c r="M318"/>
      <c r="N318" s="1"/>
      <c r="O318" s="8"/>
      <c r="P318" s="9"/>
      <c r="Q318"/>
      <c r="R318"/>
      <c r="V318"/>
      <c r="W318"/>
      <c r="X318"/>
    </row>
    <row r="319" spans="2:24" x14ac:dyDescent="0.3">
      <c r="B319" s="10" t="str">
        <f t="shared" ca="1" si="8"/>
        <v>HCP_847575</v>
      </c>
      <c r="C319" s="11" t="s">
        <v>8</v>
      </c>
      <c r="D319" s="12">
        <v>44067</v>
      </c>
      <c r="E319" s="12">
        <v>44536</v>
      </c>
      <c r="F319" s="11">
        <v>37</v>
      </c>
      <c r="G319" s="11">
        <v>40</v>
      </c>
      <c r="H319" s="11">
        <v>6</v>
      </c>
      <c r="I319" s="11" t="s">
        <v>15</v>
      </c>
      <c r="J319" s="13" t="s">
        <v>16</v>
      </c>
      <c r="K319" s="10">
        <f>Table1[[#This Row],[Date of last Dispense]]-Table1[[#This Row],[Date of 1st Dispense]]</f>
        <v>469</v>
      </c>
      <c r="L319" s="10" t="str">
        <f t="shared" si="9"/>
        <v>12+ Months</v>
      </c>
      <c r="M319"/>
      <c r="N319" s="1"/>
      <c r="O319" s="8"/>
      <c r="P319" s="9"/>
      <c r="Q319"/>
      <c r="R319"/>
      <c r="V319"/>
      <c r="W319"/>
      <c r="X319"/>
    </row>
    <row r="320" spans="2:24" x14ac:dyDescent="0.3">
      <c r="B320" s="10" t="str">
        <f t="shared" ca="1" si="8"/>
        <v>HCP_599721</v>
      </c>
      <c r="C320" s="11" t="s">
        <v>8</v>
      </c>
      <c r="D320" s="12">
        <v>44066</v>
      </c>
      <c r="E320" s="12">
        <v>44227</v>
      </c>
      <c r="F320" s="11">
        <v>49</v>
      </c>
      <c r="G320" s="11">
        <v>45</v>
      </c>
      <c r="H320" s="11">
        <v>2</v>
      </c>
      <c r="I320" s="11" t="s">
        <v>19</v>
      </c>
      <c r="J320" s="13" t="s">
        <v>16</v>
      </c>
      <c r="K320" s="10">
        <f>Table1[[#This Row],[Date of last Dispense]]-Table1[[#This Row],[Date of 1st Dispense]]</f>
        <v>161</v>
      </c>
      <c r="L320" s="10" t="str">
        <f t="shared" si="9"/>
        <v>3-6 Months</v>
      </c>
      <c r="M320"/>
      <c r="N320" s="1"/>
      <c r="O320" s="8"/>
      <c r="P320" s="9"/>
      <c r="Q320"/>
      <c r="R320"/>
      <c r="V320"/>
      <c r="W320"/>
      <c r="X320"/>
    </row>
    <row r="321" spans="2:24" x14ac:dyDescent="0.3">
      <c r="B321" s="10" t="str">
        <f t="shared" ca="1" si="8"/>
        <v>HCP_208648</v>
      </c>
      <c r="C321" s="11" t="s">
        <v>17</v>
      </c>
      <c r="D321" s="12">
        <v>44049</v>
      </c>
      <c r="E321" s="12">
        <v>44824</v>
      </c>
      <c r="F321" s="11">
        <v>47</v>
      </c>
      <c r="G321" s="11">
        <v>4</v>
      </c>
      <c r="H321" s="11">
        <v>22</v>
      </c>
      <c r="I321" s="11" t="s">
        <v>19</v>
      </c>
      <c r="J321" s="13" t="s">
        <v>10</v>
      </c>
      <c r="K321" s="10">
        <f>Table1[[#This Row],[Date of last Dispense]]-Table1[[#This Row],[Date of 1st Dispense]]</f>
        <v>775</v>
      </c>
      <c r="L321" s="10" t="str">
        <f t="shared" si="9"/>
        <v>12+ Months</v>
      </c>
      <c r="M321"/>
      <c r="N321" s="1"/>
      <c r="O321" s="8"/>
      <c r="P321" s="9"/>
      <c r="Q321"/>
      <c r="R321"/>
      <c r="V321"/>
      <c r="W321"/>
      <c r="X321"/>
    </row>
    <row r="322" spans="2:24" x14ac:dyDescent="0.3">
      <c r="B322" s="10" t="str">
        <f t="shared" ca="1" si="8"/>
        <v>HCP_730986</v>
      </c>
      <c r="C322" s="11" t="s">
        <v>8</v>
      </c>
      <c r="D322" s="12">
        <v>44062</v>
      </c>
      <c r="E322" s="12">
        <v>44820</v>
      </c>
      <c r="F322" s="11">
        <v>59</v>
      </c>
      <c r="G322" s="11">
        <v>46</v>
      </c>
      <c r="H322" s="11">
        <v>23</v>
      </c>
      <c r="I322" s="11" t="s">
        <v>19</v>
      </c>
      <c r="J322" s="13" t="s">
        <v>10</v>
      </c>
      <c r="K322" s="10">
        <f>Table1[[#This Row],[Date of last Dispense]]-Table1[[#This Row],[Date of 1st Dispense]]</f>
        <v>758</v>
      </c>
      <c r="L322" s="10" t="str">
        <f t="shared" si="9"/>
        <v>12+ Months</v>
      </c>
      <c r="M322"/>
      <c r="N322" s="1"/>
      <c r="O322" s="8"/>
      <c r="P322" s="9"/>
      <c r="Q322"/>
      <c r="R322"/>
      <c r="V322"/>
      <c r="W322"/>
      <c r="X322"/>
    </row>
    <row r="323" spans="2:24" x14ac:dyDescent="0.3">
      <c r="B323" s="10" t="str">
        <f t="shared" ref="B323:B386" ca="1" si="10">"HCP_"&amp;TEXT(RANDBETWEEN(100000,999999),"000000")</f>
        <v>HCP_336992</v>
      </c>
      <c r="C323" s="11" t="s">
        <v>8</v>
      </c>
      <c r="D323" s="12">
        <v>43992</v>
      </c>
      <c r="E323" s="12">
        <v>44826</v>
      </c>
      <c r="F323" s="11">
        <v>22</v>
      </c>
      <c r="G323" s="11">
        <v>39</v>
      </c>
      <c r="H323" s="11">
        <v>20</v>
      </c>
      <c r="I323" s="11" t="s">
        <v>13</v>
      </c>
      <c r="J323" s="13" t="s">
        <v>10</v>
      </c>
      <c r="K323" s="10">
        <f>Table1[[#This Row],[Date of last Dispense]]-Table1[[#This Row],[Date of 1st Dispense]]</f>
        <v>834</v>
      </c>
      <c r="L323" s="10" t="str">
        <f t="shared" ref="L323:L386" si="11">IF(K323&lt;=90, "0-3 Months",IF(K323&lt;=180,"3-6 Months",IF(K323&lt;=365, "6-12 Months", "12+ Months")))</f>
        <v>12+ Months</v>
      </c>
      <c r="M323"/>
      <c r="N323" s="1"/>
      <c r="O323" s="8"/>
      <c r="P323" s="9"/>
      <c r="Q323"/>
      <c r="R323"/>
      <c r="V323"/>
      <c r="W323"/>
      <c r="X323"/>
    </row>
    <row r="324" spans="2:24" x14ac:dyDescent="0.3">
      <c r="B324" s="10" t="str">
        <f t="shared" ca="1" si="10"/>
        <v>HCP_827201</v>
      </c>
      <c r="C324" s="11" t="s">
        <v>8</v>
      </c>
      <c r="D324" s="12">
        <v>44068</v>
      </c>
      <c r="E324" s="12">
        <v>44825</v>
      </c>
      <c r="F324" s="11">
        <v>15</v>
      </c>
      <c r="G324" s="11">
        <v>27</v>
      </c>
      <c r="H324" s="11">
        <v>21</v>
      </c>
      <c r="I324" s="11" t="s">
        <v>9</v>
      </c>
      <c r="J324" s="13" t="s">
        <v>10</v>
      </c>
      <c r="K324" s="10">
        <f>Table1[[#This Row],[Date of last Dispense]]-Table1[[#This Row],[Date of 1st Dispense]]</f>
        <v>757</v>
      </c>
      <c r="L324" s="10" t="str">
        <f t="shared" si="11"/>
        <v>12+ Months</v>
      </c>
      <c r="M324"/>
      <c r="N324" s="1"/>
      <c r="O324" s="8"/>
      <c r="P324" s="9"/>
      <c r="Q324"/>
      <c r="R324"/>
      <c r="V324"/>
      <c r="W324"/>
      <c r="X324"/>
    </row>
    <row r="325" spans="2:24" x14ac:dyDescent="0.3">
      <c r="B325" s="10" t="str">
        <f t="shared" ca="1" si="10"/>
        <v>HCP_998773</v>
      </c>
      <c r="C325" s="11" t="s">
        <v>8</v>
      </c>
      <c r="D325" s="12">
        <v>44060</v>
      </c>
      <c r="E325" s="12">
        <v>44825</v>
      </c>
      <c r="F325" s="11">
        <v>24</v>
      </c>
      <c r="G325" s="11">
        <v>50</v>
      </c>
      <c r="H325" s="11">
        <v>14</v>
      </c>
      <c r="I325" s="11" t="s">
        <v>9</v>
      </c>
      <c r="J325" s="13" t="s">
        <v>10</v>
      </c>
      <c r="K325" s="10">
        <f>Table1[[#This Row],[Date of last Dispense]]-Table1[[#This Row],[Date of 1st Dispense]]</f>
        <v>765</v>
      </c>
      <c r="L325" s="10" t="str">
        <f t="shared" si="11"/>
        <v>12+ Months</v>
      </c>
      <c r="M325"/>
      <c r="N325" s="1"/>
      <c r="O325" s="8"/>
      <c r="P325" s="9"/>
      <c r="Q325"/>
      <c r="R325"/>
      <c r="V325"/>
      <c r="W325"/>
      <c r="X325"/>
    </row>
    <row r="326" spans="2:24" x14ac:dyDescent="0.3">
      <c r="B326" s="10" t="str">
        <f t="shared" ca="1" si="10"/>
        <v>HCP_753941</v>
      </c>
      <c r="C326" s="11" t="s">
        <v>8</v>
      </c>
      <c r="D326" s="12">
        <v>44059</v>
      </c>
      <c r="E326" s="12">
        <v>44826</v>
      </c>
      <c r="F326" s="11">
        <v>19</v>
      </c>
      <c r="G326" s="11">
        <v>8</v>
      </c>
      <c r="H326" s="11">
        <v>17</v>
      </c>
      <c r="I326" s="11" t="s">
        <v>15</v>
      </c>
      <c r="J326" s="13" t="s">
        <v>10</v>
      </c>
      <c r="K326" s="10">
        <f>Table1[[#This Row],[Date of last Dispense]]-Table1[[#This Row],[Date of 1st Dispense]]</f>
        <v>767</v>
      </c>
      <c r="L326" s="10" t="str">
        <f t="shared" si="11"/>
        <v>12+ Months</v>
      </c>
      <c r="M326"/>
      <c r="N326" s="1"/>
      <c r="O326" s="8"/>
      <c r="P326" s="9"/>
      <c r="Q326"/>
      <c r="R326"/>
      <c r="V326"/>
      <c r="W326"/>
      <c r="X326"/>
    </row>
    <row r="327" spans="2:24" x14ac:dyDescent="0.3">
      <c r="B327" s="10" t="str">
        <f t="shared" ca="1" si="10"/>
        <v>HCP_255528</v>
      </c>
      <c r="C327" s="11" t="s">
        <v>17</v>
      </c>
      <c r="D327" s="12">
        <v>44060</v>
      </c>
      <c r="E327" s="12">
        <v>44818</v>
      </c>
      <c r="F327" s="11">
        <v>0</v>
      </c>
      <c r="G327" s="11">
        <v>25</v>
      </c>
      <c r="H327" s="11">
        <v>18</v>
      </c>
      <c r="I327" s="11" t="s">
        <v>15</v>
      </c>
      <c r="J327" s="13" t="s">
        <v>10</v>
      </c>
      <c r="K327" s="10">
        <f>Table1[[#This Row],[Date of last Dispense]]-Table1[[#This Row],[Date of 1st Dispense]]</f>
        <v>758</v>
      </c>
      <c r="L327" s="10" t="str">
        <f t="shared" si="11"/>
        <v>12+ Months</v>
      </c>
      <c r="M327"/>
      <c r="N327" s="1"/>
      <c r="O327" s="8"/>
      <c r="P327" s="9"/>
      <c r="Q327"/>
      <c r="R327"/>
      <c r="V327"/>
      <c r="W327"/>
      <c r="X327"/>
    </row>
    <row r="328" spans="2:24" x14ac:dyDescent="0.3">
      <c r="B328" s="10" t="str">
        <f t="shared" ca="1" si="10"/>
        <v>HCP_542332</v>
      </c>
      <c r="C328" s="11" t="s">
        <v>8</v>
      </c>
      <c r="D328" s="12">
        <v>44398</v>
      </c>
      <c r="E328" s="12">
        <v>44826</v>
      </c>
      <c r="F328" s="11">
        <v>8</v>
      </c>
      <c r="G328" s="11">
        <v>46</v>
      </c>
      <c r="H328" s="11">
        <v>30</v>
      </c>
      <c r="I328" s="11" t="s">
        <v>13</v>
      </c>
      <c r="J328" s="13" t="s">
        <v>10</v>
      </c>
      <c r="K328" s="10">
        <f>Table1[[#This Row],[Date of last Dispense]]-Table1[[#This Row],[Date of 1st Dispense]]</f>
        <v>428</v>
      </c>
      <c r="L328" s="10" t="str">
        <f t="shared" si="11"/>
        <v>12+ Months</v>
      </c>
      <c r="M328"/>
      <c r="N328" s="1"/>
      <c r="O328" s="8"/>
      <c r="P328" s="9"/>
      <c r="Q328"/>
      <c r="R328"/>
      <c r="V328"/>
      <c r="W328"/>
      <c r="X328"/>
    </row>
    <row r="329" spans="2:24" x14ac:dyDescent="0.3">
      <c r="B329" s="10" t="str">
        <f t="shared" ca="1" si="10"/>
        <v>HCP_917880</v>
      </c>
      <c r="C329" s="11" t="s">
        <v>8</v>
      </c>
      <c r="D329" s="12">
        <v>44054</v>
      </c>
      <c r="E329" s="12">
        <v>44511</v>
      </c>
      <c r="F329" s="11">
        <v>58</v>
      </c>
      <c r="G329" s="11">
        <v>12</v>
      </c>
      <c r="H329" s="11">
        <v>7</v>
      </c>
      <c r="I329" s="11" t="s">
        <v>14</v>
      </c>
      <c r="J329" s="13" t="s">
        <v>16</v>
      </c>
      <c r="K329" s="10">
        <f>Table1[[#This Row],[Date of last Dispense]]-Table1[[#This Row],[Date of 1st Dispense]]</f>
        <v>457</v>
      </c>
      <c r="L329" s="10" t="str">
        <f t="shared" si="11"/>
        <v>12+ Months</v>
      </c>
      <c r="M329"/>
      <c r="N329" s="1"/>
      <c r="O329" s="8"/>
      <c r="P329" s="9"/>
      <c r="Q329"/>
      <c r="R329"/>
      <c r="V329"/>
      <c r="W329"/>
      <c r="X329"/>
    </row>
    <row r="330" spans="2:24" x14ac:dyDescent="0.3">
      <c r="B330" s="10" t="str">
        <f t="shared" ca="1" si="10"/>
        <v>HCP_624216</v>
      </c>
      <c r="C330" s="11" t="s">
        <v>8</v>
      </c>
      <c r="D330" s="12">
        <v>44050</v>
      </c>
      <c r="E330" s="12">
        <v>44489</v>
      </c>
      <c r="F330" s="11">
        <v>66</v>
      </c>
      <c r="G330" s="11">
        <v>44</v>
      </c>
      <c r="H330" s="11">
        <v>25</v>
      </c>
      <c r="I330" s="11" t="s">
        <v>14</v>
      </c>
      <c r="J330" s="13" t="s">
        <v>16</v>
      </c>
      <c r="K330" s="10">
        <f>Table1[[#This Row],[Date of last Dispense]]-Table1[[#This Row],[Date of 1st Dispense]]</f>
        <v>439</v>
      </c>
      <c r="L330" s="10" t="str">
        <f t="shared" si="11"/>
        <v>12+ Months</v>
      </c>
      <c r="M330"/>
      <c r="N330" s="1"/>
      <c r="O330" s="8"/>
      <c r="P330" s="9"/>
      <c r="Q330"/>
      <c r="R330"/>
      <c r="V330"/>
      <c r="W330"/>
      <c r="X330"/>
    </row>
    <row r="331" spans="2:24" x14ac:dyDescent="0.3">
      <c r="B331" s="10" t="str">
        <f t="shared" ca="1" si="10"/>
        <v>HCP_746238</v>
      </c>
      <c r="C331" s="11" t="s">
        <v>12</v>
      </c>
      <c r="D331" s="12">
        <v>44475</v>
      </c>
      <c r="E331" s="12">
        <v>44826</v>
      </c>
      <c r="F331" s="11">
        <v>39</v>
      </c>
      <c r="G331" s="11">
        <v>11</v>
      </c>
      <c r="H331" s="11">
        <v>0</v>
      </c>
      <c r="I331" s="11" t="s">
        <v>13</v>
      </c>
      <c r="J331" s="13" t="s">
        <v>10</v>
      </c>
      <c r="K331" s="10">
        <f>Table1[[#This Row],[Date of last Dispense]]-Table1[[#This Row],[Date of 1st Dispense]]</f>
        <v>351</v>
      </c>
      <c r="L331" s="10" t="str">
        <f t="shared" si="11"/>
        <v>6-12 Months</v>
      </c>
      <c r="M331"/>
      <c r="N331" s="1"/>
      <c r="O331" s="8"/>
      <c r="P331" s="9"/>
      <c r="Q331"/>
      <c r="R331"/>
      <c r="V331"/>
      <c r="W331"/>
      <c r="X331"/>
    </row>
    <row r="332" spans="2:24" x14ac:dyDescent="0.3">
      <c r="B332" s="10" t="str">
        <f t="shared" ca="1" si="10"/>
        <v>HCP_844979</v>
      </c>
      <c r="C332" s="11" t="s">
        <v>8</v>
      </c>
      <c r="D332" s="12">
        <v>44049</v>
      </c>
      <c r="E332" s="12">
        <v>44823</v>
      </c>
      <c r="F332" s="11">
        <v>48</v>
      </c>
      <c r="G332" s="11">
        <v>38</v>
      </c>
      <c r="H332" s="11">
        <v>26</v>
      </c>
      <c r="I332" s="11" t="s">
        <v>13</v>
      </c>
      <c r="J332" s="13" t="s">
        <v>10</v>
      </c>
      <c r="K332" s="10">
        <f>Table1[[#This Row],[Date of last Dispense]]-Table1[[#This Row],[Date of 1st Dispense]]</f>
        <v>774</v>
      </c>
      <c r="L332" s="10" t="str">
        <f t="shared" si="11"/>
        <v>12+ Months</v>
      </c>
      <c r="M332"/>
      <c r="N332" s="1"/>
      <c r="O332" s="8"/>
      <c r="P332" s="9"/>
      <c r="Q332"/>
      <c r="R332"/>
      <c r="V332"/>
      <c r="W332"/>
      <c r="X332"/>
    </row>
    <row r="333" spans="2:24" x14ac:dyDescent="0.3">
      <c r="B333" s="10" t="str">
        <f t="shared" ca="1" si="10"/>
        <v>HCP_322993</v>
      </c>
      <c r="C333" s="11" t="s">
        <v>20</v>
      </c>
      <c r="D333" s="12">
        <v>44028</v>
      </c>
      <c r="E333" s="12">
        <v>44775</v>
      </c>
      <c r="F333" s="11">
        <v>46</v>
      </c>
      <c r="G333" s="11">
        <v>24</v>
      </c>
      <c r="H333" s="11">
        <v>20</v>
      </c>
      <c r="I333" s="11" t="s">
        <v>14</v>
      </c>
      <c r="J333" s="13" t="s">
        <v>10</v>
      </c>
      <c r="K333" s="10">
        <f>Table1[[#This Row],[Date of last Dispense]]-Table1[[#This Row],[Date of 1st Dispense]]</f>
        <v>747</v>
      </c>
      <c r="L333" s="10" t="str">
        <f t="shared" si="11"/>
        <v>12+ Months</v>
      </c>
      <c r="M333"/>
      <c r="N333" s="1"/>
      <c r="O333" s="8"/>
      <c r="P333" s="9"/>
      <c r="Q333"/>
      <c r="R333"/>
      <c r="V333"/>
      <c r="W333"/>
      <c r="X333"/>
    </row>
    <row r="334" spans="2:24" x14ac:dyDescent="0.3">
      <c r="B334" s="10" t="str">
        <f t="shared" ca="1" si="10"/>
        <v>HCP_415082</v>
      </c>
      <c r="C334" s="11" t="s">
        <v>8</v>
      </c>
      <c r="D334" s="12">
        <v>44048</v>
      </c>
      <c r="E334" s="12">
        <v>44825</v>
      </c>
      <c r="F334" s="11">
        <v>1</v>
      </c>
      <c r="G334" s="11">
        <v>3</v>
      </c>
      <c r="H334" s="11">
        <v>11</v>
      </c>
      <c r="I334" s="11" t="s">
        <v>19</v>
      </c>
      <c r="J334" s="13" t="s">
        <v>10</v>
      </c>
      <c r="K334" s="10">
        <f>Table1[[#This Row],[Date of last Dispense]]-Table1[[#This Row],[Date of 1st Dispense]]</f>
        <v>777</v>
      </c>
      <c r="L334" s="10" t="str">
        <f t="shared" si="11"/>
        <v>12+ Months</v>
      </c>
      <c r="M334"/>
      <c r="N334" s="1"/>
      <c r="O334" s="8"/>
      <c r="P334" s="9"/>
      <c r="Q334"/>
      <c r="R334"/>
      <c r="V334"/>
      <c r="W334"/>
      <c r="X334"/>
    </row>
    <row r="335" spans="2:24" x14ac:dyDescent="0.3">
      <c r="B335" s="10" t="str">
        <f t="shared" ca="1" si="10"/>
        <v>HCP_406290</v>
      </c>
      <c r="C335" s="11" t="s">
        <v>8</v>
      </c>
      <c r="D335" s="12">
        <v>44048</v>
      </c>
      <c r="E335" s="12">
        <v>44818</v>
      </c>
      <c r="F335" s="11">
        <v>52</v>
      </c>
      <c r="G335" s="11">
        <v>10</v>
      </c>
      <c r="H335" s="11">
        <v>22</v>
      </c>
      <c r="I335" s="11" t="s">
        <v>9</v>
      </c>
      <c r="J335" s="13" t="s">
        <v>10</v>
      </c>
      <c r="K335" s="10">
        <f>Table1[[#This Row],[Date of last Dispense]]-Table1[[#This Row],[Date of 1st Dispense]]</f>
        <v>770</v>
      </c>
      <c r="L335" s="10" t="str">
        <f t="shared" si="11"/>
        <v>12+ Months</v>
      </c>
      <c r="M335"/>
      <c r="N335" s="1"/>
      <c r="O335" s="8"/>
      <c r="P335" s="9"/>
      <c r="Q335"/>
      <c r="R335"/>
      <c r="V335"/>
      <c r="W335"/>
      <c r="X335"/>
    </row>
    <row r="336" spans="2:24" x14ac:dyDescent="0.3">
      <c r="B336" s="10" t="str">
        <f t="shared" ca="1" si="10"/>
        <v>HCP_723021</v>
      </c>
      <c r="C336" s="11" t="s">
        <v>8</v>
      </c>
      <c r="D336" s="12">
        <v>44042</v>
      </c>
      <c r="E336" s="12">
        <v>44825</v>
      </c>
      <c r="F336" s="11">
        <v>43</v>
      </c>
      <c r="G336" s="11">
        <v>33</v>
      </c>
      <c r="H336" s="11">
        <v>20</v>
      </c>
      <c r="I336" s="11" t="s">
        <v>14</v>
      </c>
      <c r="J336" s="13" t="s">
        <v>10</v>
      </c>
      <c r="K336" s="10">
        <f>Table1[[#This Row],[Date of last Dispense]]-Table1[[#This Row],[Date of 1st Dispense]]</f>
        <v>783</v>
      </c>
      <c r="L336" s="10" t="str">
        <f t="shared" si="11"/>
        <v>12+ Months</v>
      </c>
      <c r="M336"/>
      <c r="N336" s="1"/>
      <c r="O336" s="8"/>
      <c r="P336" s="9"/>
      <c r="Q336"/>
      <c r="R336"/>
      <c r="V336"/>
      <c r="W336"/>
      <c r="X336"/>
    </row>
    <row r="337" spans="2:24" x14ac:dyDescent="0.3">
      <c r="B337" s="10" t="str">
        <f t="shared" ca="1" si="10"/>
        <v>HCP_816399</v>
      </c>
      <c r="C337" s="11" t="s">
        <v>8</v>
      </c>
      <c r="D337" s="12">
        <v>44041</v>
      </c>
      <c r="E337" s="12">
        <v>44824</v>
      </c>
      <c r="F337" s="11">
        <v>8</v>
      </c>
      <c r="G337" s="11">
        <v>17</v>
      </c>
      <c r="H337" s="11">
        <v>22</v>
      </c>
      <c r="I337" s="11" t="s">
        <v>13</v>
      </c>
      <c r="J337" s="13" t="s">
        <v>10</v>
      </c>
      <c r="K337" s="10">
        <f>Table1[[#This Row],[Date of last Dispense]]-Table1[[#This Row],[Date of 1st Dispense]]</f>
        <v>783</v>
      </c>
      <c r="L337" s="10" t="str">
        <f t="shared" si="11"/>
        <v>12+ Months</v>
      </c>
      <c r="M337"/>
      <c r="N337" s="1"/>
      <c r="O337" s="8"/>
      <c r="P337" s="9"/>
      <c r="Q337"/>
      <c r="R337"/>
      <c r="V337"/>
      <c r="W337"/>
      <c r="X337"/>
    </row>
    <row r="338" spans="2:24" x14ac:dyDescent="0.3">
      <c r="B338" s="10" t="str">
        <f t="shared" ca="1" si="10"/>
        <v>HCP_889178</v>
      </c>
      <c r="C338" s="11" t="s">
        <v>8</v>
      </c>
      <c r="D338" s="12">
        <v>44040</v>
      </c>
      <c r="E338" s="12">
        <v>44370</v>
      </c>
      <c r="F338" s="11">
        <v>20</v>
      </c>
      <c r="G338" s="11">
        <v>24</v>
      </c>
      <c r="H338" s="11">
        <v>12</v>
      </c>
      <c r="I338" s="11" t="s">
        <v>14</v>
      </c>
      <c r="J338" s="13" t="s">
        <v>16</v>
      </c>
      <c r="K338" s="10">
        <f>Table1[[#This Row],[Date of last Dispense]]-Table1[[#This Row],[Date of 1st Dispense]]</f>
        <v>330</v>
      </c>
      <c r="L338" s="10" t="str">
        <f t="shared" si="11"/>
        <v>6-12 Months</v>
      </c>
      <c r="M338"/>
      <c r="N338" s="1"/>
      <c r="O338" s="8"/>
      <c r="P338" s="9"/>
      <c r="Q338"/>
      <c r="R338"/>
      <c r="V338"/>
      <c r="W338"/>
      <c r="X338"/>
    </row>
    <row r="339" spans="2:24" x14ac:dyDescent="0.3">
      <c r="B339" s="10" t="str">
        <f t="shared" ca="1" si="10"/>
        <v>HCP_544151</v>
      </c>
      <c r="C339" s="11" t="s">
        <v>8</v>
      </c>
      <c r="D339" s="12">
        <v>44039</v>
      </c>
      <c r="E339" s="12">
        <v>44824</v>
      </c>
      <c r="F339" s="11">
        <v>8</v>
      </c>
      <c r="G339" s="11">
        <v>21</v>
      </c>
      <c r="H339" s="11">
        <v>23</v>
      </c>
      <c r="I339" s="11" t="s">
        <v>13</v>
      </c>
      <c r="J339" s="13" t="s">
        <v>10</v>
      </c>
      <c r="K339" s="10">
        <f>Table1[[#This Row],[Date of last Dispense]]-Table1[[#This Row],[Date of 1st Dispense]]</f>
        <v>785</v>
      </c>
      <c r="L339" s="10" t="str">
        <f t="shared" si="11"/>
        <v>12+ Months</v>
      </c>
      <c r="M339"/>
      <c r="N339" s="1"/>
      <c r="O339" s="8"/>
      <c r="P339" s="9"/>
      <c r="Q339"/>
      <c r="R339"/>
      <c r="V339"/>
      <c r="W339"/>
      <c r="X339"/>
    </row>
    <row r="340" spans="2:24" x14ac:dyDescent="0.3">
      <c r="B340" s="10" t="str">
        <f t="shared" ca="1" si="10"/>
        <v>HCP_787949</v>
      </c>
      <c r="C340" s="11" t="s">
        <v>17</v>
      </c>
      <c r="D340" s="12">
        <v>44039</v>
      </c>
      <c r="E340" s="12">
        <v>44818</v>
      </c>
      <c r="F340" s="11">
        <v>57</v>
      </c>
      <c r="G340" s="11">
        <v>40</v>
      </c>
      <c r="H340" s="11">
        <v>11</v>
      </c>
      <c r="I340" s="11" t="s">
        <v>13</v>
      </c>
      <c r="J340" s="13" t="s">
        <v>10</v>
      </c>
      <c r="K340" s="10">
        <f>Table1[[#This Row],[Date of last Dispense]]-Table1[[#This Row],[Date of 1st Dispense]]</f>
        <v>779</v>
      </c>
      <c r="L340" s="10" t="str">
        <f t="shared" si="11"/>
        <v>12+ Months</v>
      </c>
      <c r="M340"/>
      <c r="N340" s="1"/>
      <c r="O340" s="8"/>
      <c r="P340" s="9"/>
      <c r="Q340"/>
      <c r="R340"/>
      <c r="V340"/>
      <c r="W340"/>
      <c r="X340"/>
    </row>
    <row r="341" spans="2:24" x14ac:dyDescent="0.3">
      <c r="B341" s="10" t="str">
        <f t="shared" ca="1" si="10"/>
        <v>HCP_538093</v>
      </c>
      <c r="C341" s="11" t="s">
        <v>8</v>
      </c>
      <c r="D341" s="12">
        <v>44039</v>
      </c>
      <c r="E341" s="12">
        <v>44796</v>
      </c>
      <c r="F341" s="11">
        <v>23</v>
      </c>
      <c r="G341" s="11">
        <v>22</v>
      </c>
      <c r="H341" s="11">
        <v>17</v>
      </c>
      <c r="I341" s="11" t="s">
        <v>15</v>
      </c>
      <c r="J341" s="13" t="s">
        <v>10</v>
      </c>
      <c r="K341" s="10">
        <f>Table1[[#This Row],[Date of last Dispense]]-Table1[[#This Row],[Date of 1st Dispense]]</f>
        <v>757</v>
      </c>
      <c r="L341" s="10" t="str">
        <f t="shared" si="11"/>
        <v>12+ Months</v>
      </c>
      <c r="M341"/>
      <c r="N341" s="1"/>
      <c r="O341" s="8"/>
      <c r="P341" s="9"/>
      <c r="Q341"/>
      <c r="R341"/>
      <c r="V341"/>
      <c r="W341"/>
      <c r="X341"/>
    </row>
    <row r="342" spans="2:24" x14ac:dyDescent="0.3">
      <c r="B342" s="10" t="str">
        <f t="shared" ca="1" si="10"/>
        <v>HCP_615462</v>
      </c>
      <c r="C342" s="11" t="s">
        <v>29</v>
      </c>
      <c r="D342" s="12">
        <v>44035</v>
      </c>
      <c r="E342" s="12">
        <v>44824</v>
      </c>
      <c r="F342" s="11">
        <v>17</v>
      </c>
      <c r="G342" s="11">
        <v>39</v>
      </c>
      <c r="H342" s="11">
        <v>16</v>
      </c>
      <c r="I342" s="11" t="s">
        <v>19</v>
      </c>
      <c r="J342" s="13" t="s">
        <v>10</v>
      </c>
      <c r="K342" s="10">
        <f>Table1[[#This Row],[Date of last Dispense]]-Table1[[#This Row],[Date of 1st Dispense]]</f>
        <v>789</v>
      </c>
      <c r="L342" s="10" t="str">
        <f t="shared" si="11"/>
        <v>12+ Months</v>
      </c>
      <c r="M342"/>
      <c r="N342" s="1"/>
      <c r="O342" s="8"/>
      <c r="P342" s="9"/>
      <c r="Q342"/>
      <c r="R342"/>
      <c r="V342"/>
      <c r="W342"/>
      <c r="X342"/>
    </row>
    <row r="343" spans="2:24" x14ac:dyDescent="0.3">
      <c r="B343" s="10" t="str">
        <f t="shared" ca="1" si="10"/>
        <v>HCP_594525</v>
      </c>
      <c r="C343" s="11" t="s">
        <v>8</v>
      </c>
      <c r="D343" s="12">
        <v>44035</v>
      </c>
      <c r="E343" s="12">
        <v>44823</v>
      </c>
      <c r="F343" s="11">
        <v>44</v>
      </c>
      <c r="G343" s="11">
        <v>19</v>
      </c>
      <c r="H343" s="11">
        <v>3</v>
      </c>
      <c r="I343" s="11" t="s">
        <v>9</v>
      </c>
      <c r="J343" s="13" t="s">
        <v>10</v>
      </c>
      <c r="K343" s="10">
        <f>Table1[[#This Row],[Date of last Dispense]]-Table1[[#This Row],[Date of 1st Dispense]]</f>
        <v>788</v>
      </c>
      <c r="L343" s="10" t="str">
        <f t="shared" si="11"/>
        <v>12+ Months</v>
      </c>
      <c r="M343"/>
      <c r="N343" s="1"/>
      <c r="O343" s="8"/>
      <c r="P343" s="9"/>
      <c r="Q343"/>
      <c r="R343"/>
      <c r="V343"/>
      <c r="W343"/>
      <c r="X343"/>
    </row>
    <row r="344" spans="2:24" x14ac:dyDescent="0.3">
      <c r="B344" s="10" t="str">
        <f t="shared" ca="1" si="10"/>
        <v>HCP_976611</v>
      </c>
      <c r="C344" s="11" t="s">
        <v>8</v>
      </c>
      <c r="D344" s="12">
        <v>44033</v>
      </c>
      <c r="E344" s="12">
        <v>44756</v>
      </c>
      <c r="F344" s="11">
        <v>52</v>
      </c>
      <c r="G344" s="11">
        <v>0</v>
      </c>
      <c r="H344" s="11">
        <v>12</v>
      </c>
      <c r="I344" s="11" t="s">
        <v>9</v>
      </c>
      <c r="J344" s="13" t="s">
        <v>10</v>
      </c>
      <c r="K344" s="10">
        <f>Table1[[#This Row],[Date of last Dispense]]-Table1[[#This Row],[Date of 1st Dispense]]</f>
        <v>723</v>
      </c>
      <c r="L344" s="10" t="str">
        <f t="shared" si="11"/>
        <v>12+ Months</v>
      </c>
      <c r="M344"/>
      <c r="N344" s="1"/>
      <c r="O344" s="8"/>
      <c r="P344" s="9"/>
      <c r="Q344"/>
      <c r="R344"/>
      <c r="V344"/>
      <c r="W344"/>
      <c r="X344"/>
    </row>
    <row r="345" spans="2:24" x14ac:dyDescent="0.3">
      <c r="B345" s="10" t="str">
        <f t="shared" ca="1" si="10"/>
        <v>HCP_196699</v>
      </c>
      <c r="C345" s="11" t="s">
        <v>8</v>
      </c>
      <c r="D345" s="12">
        <v>44033</v>
      </c>
      <c r="E345" s="12">
        <v>44179</v>
      </c>
      <c r="F345" s="11">
        <v>70</v>
      </c>
      <c r="G345" s="11">
        <v>20</v>
      </c>
      <c r="H345" s="11">
        <v>30</v>
      </c>
      <c r="I345" s="11" t="s">
        <v>15</v>
      </c>
      <c r="J345" s="13" t="s">
        <v>16</v>
      </c>
      <c r="K345" s="10">
        <f>Table1[[#This Row],[Date of last Dispense]]-Table1[[#This Row],[Date of 1st Dispense]]</f>
        <v>146</v>
      </c>
      <c r="L345" s="10" t="str">
        <f t="shared" si="11"/>
        <v>3-6 Months</v>
      </c>
      <c r="M345"/>
      <c r="N345" s="1"/>
      <c r="O345" s="8"/>
      <c r="P345" s="9"/>
      <c r="Q345"/>
      <c r="R345"/>
      <c r="V345"/>
      <c r="W345"/>
      <c r="X345"/>
    </row>
    <row r="346" spans="2:24" x14ac:dyDescent="0.3">
      <c r="B346" s="10" t="str">
        <f t="shared" ca="1" si="10"/>
        <v>HCP_386703</v>
      </c>
      <c r="C346" s="11" t="s">
        <v>8</v>
      </c>
      <c r="D346" s="12">
        <v>44033</v>
      </c>
      <c r="E346" s="12">
        <v>44270</v>
      </c>
      <c r="F346" s="11">
        <v>41</v>
      </c>
      <c r="G346" s="11">
        <v>10</v>
      </c>
      <c r="H346" s="11">
        <v>28</v>
      </c>
      <c r="I346" s="11" t="s">
        <v>13</v>
      </c>
      <c r="J346" s="13" t="s">
        <v>16</v>
      </c>
      <c r="K346" s="10">
        <f>Table1[[#This Row],[Date of last Dispense]]-Table1[[#This Row],[Date of 1st Dispense]]</f>
        <v>237</v>
      </c>
      <c r="L346" s="10" t="str">
        <f t="shared" si="11"/>
        <v>6-12 Months</v>
      </c>
      <c r="M346"/>
      <c r="N346" s="1"/>
      <c r="O346" s="8"/>
      <c r="P346" s="9"/>
      <c r="Q346"/>
      <c r="R346"/>
      <c r="V346"/>
      <c r="W346"/>
      <c r="X346"/>
    </row>
    <row r="347" spans="2:24" x14ac:dyDescent="0.3">
      <c r="B347" s="10" t="str">
        <f t="shared" ca="1" si="10"/>
        <v>HCP_892122</v>
      </c>
      <c r="C347" s="11" t="s">
        <v>8</v>
      </c>
      <c r="D347" s="12">
        <v>44033</v>
      </c>
      <c r="E347" s="12">
        <v>44085</v>
      </c>
      <c r="F347" s="11">
        <v>20</v>
      </c>
      <c r="G347" s="11">
        <v>39</v>
      </c>
      <c r="H347" s="11">
        <v>29</v>
      </c>
      <c r="I347" s="11" t="s">
        <v>9</v>
      </c>
      <c r="J347" s="13" t="s">
        <v>16</v>
      </c>
      <c r="K347" s="10">
        <f>Table1[[#This Row],[Date of last Dispense]]-Table1[[#This Row],[Date of 1st Dispense]]</f>
        <v>52</v>
      </c>
      <c r="L347" s="10" t="str">
        <f t="shared" si="11"/>
        <v>0-3 Months</v>
      </c>
      <c r="M347"/>
      <c r="N347" s="1"/>
      <c r="O347" s="8"/>
      <c r="P347" s="9"/>
      <c r="Q347"/>
      <c r="R347"/>
      <c r="V347"/>
      <c r="W347"/>
      <c r="X347"/>
    </row>
    <row r="348" spans="2:24" x14ac:dyDescent="0.3">
      <c r="B348" s="10" t="str">
        <f t="shared" ca="1" si="10"/>
        <v>HCP_282508</v>
      </c>
      <c r="C348" s="11" t="s">
        <v>8</v>
      </c>
      <c r="D348" s="12">
        <v>44029</v>
      </c>
      <c r="E348" s="12">
        <v>44728</v>
      </c>
      <c r="F348" s="11">
        <v>33</v>
      </c>
      <c r="G348" s="11">
        <v>35</v>
      </c>
      <c r="H348" s="11">
        <v>24</v>
      </c>
      <c r="I348" s="11" t="s">
        <v>19</v>
      </c>
      <c r="J348" s="13" t="s">
        <v>16</v>
      </c>
      <c r="K348" s="10">
        <f>Table1[[#This Row],[Date of last Dispense]]-Table1[[#This Row],[Date of 1st Dispense]]</f>
        <v>699</v>
      </c>
      <c r="L348" s="10" t="str">
        <f t="shared" si="11"/>
        <v>12+ Months</v>
      </c>
      <c r="M348"/>
      <c r="N348" s="1"/>
      <c r="O348" s="8"/>
      <c r="P348" s="9"/>
      <c r="Q348"/>
      <c r="R348"/>
      <c r="V348"/>
      <c r="W348"/>
      <c r="X348"/>
    </row>
    <row r="349" spans="2:24" x14ac:dyDescent="0.3">
      <c r="B349" s="10" t="str">
        <f t="shared" ca="1" si="10"/>
        <v>HCP_546211</v>
      </c>
      <c r="C349" s="11" t="s">
        <v>8</v>
      </c>
      <c r="D349" s="12">
        <v>44515</v>
      </c>
      <c r="E349" s="12">
        <v>44826</v>
      </c>
      <c r="F349" s="11">
        <v>14</v>
      </c>
      <c r="G349" s="11">
        <v>13</v>
      </c>
      <c r="H349" s="11">
        <v>20</v>
      </c>
      <c r="I349" s="11" t="s">
        <v>15</v>
      </c>
      <c r="J349" s="13" t="s">
        <v>10</v>
      </c>
      <c r="K349" s="10">
        <f>Table1[[#This Row],[Date of last Dispense]]-Table1[[#This Row],[Date of 1st Dispense]]</f>
        <v>311</v>
      </c>
      <c r="L349" s="10" t="str">
        <f t="shared" si="11"/>
        <v>6-12 Months</v>
      </c>
      <c r="M349"/>
      <c r="N349" s="1"/>
      <c r="O349" s="8"/>
      <c r="P349" s="9"/>
      <c r="Q349"/>
      <c r="R349"/>
      <c r="V349"/>
      <c r="W349"/>
      <c r="X349"/>
    </row>
    <row r="350" spans="2:24" x14ac:dyDescent="0.3">
      <c r="B350" s="10" t="str">
        <f t="shared" ca="1" si="10"/>
        <v>HCP_375828</v>
      </c>
      <c r="C350" s="11" t="s">
        <v>30</v>
      </c>
      <c r="D350" s="12">
        <v>44245</v>
      </c>
      <c r="E350" s="12">
        <v>44826</v>
      </c>
      <c r="F350" s="11">
        <v>44</v>
      </c>
      <c r="G350" s="11">
        <v>0</v>
      </c>
      <c r="H350" s="11">
        <v>17</v>
      </c>
      <c r="I350" s="11" t="s">
        <v>13</v>
      </c>
      <c r="J350" s="13" t="s">
        <v>10</v>
      </c>
      <c r="K350" s="10">
        <f>Table1[[#This Row],[Date of last Dispense]]-Table1[[#This Row],[Date of 1st Dispense]]</f>
        <v>581</v>
      </c>
      <c r="L350" s="10" t="str">
        <f t="shared" si="11"/>
        <v>12+ Months</v>
      </c>
      <c r="M350"/>
      <c r="N350" s="1"/>
      <c r="O350" s="8"/>
      <c r="P350" s="9"/>
      <c r="Q350"/>
      <c r="R350"/>
      <c r="V350"/>
      <c r="W350"/>
      <c r="X350"/>
    </row>
    <row r="351" spans="2:24" x14ac:dyDescent="0.3">
      <c r="B351" s="10" t="str">
        <f t="shared" ca="1" si="10"/>
        <v>HCP_230133</v>
      </c>
      <c r="C351" s="11" t="s">
        <v>17</v>
      </c>
      <c r="D351" s="12">
        <v>44103</v>
      </c>
      <c r="E351" s="12">
        <v>44824</v>
      </c>
      <c r="F351" s="11">
        <v>31</v>
      </c>
      <c r="G351" s="11">
        <v>39</v>
      </c>
      <c r="H351" s="11">
        <v>3</v>
      </c>
      <c r="I351" s="11" t="s">
        <v>13</v>
      </c>
      <c r="J351" s="13" t="s">
        <v>10</v>
      </c>
      <c r="K351" s="10">
        <f>Table1[[#This Row],[Date of last Dispense]]-Table1[[#This Row],[Date of 1st Dispense]]</f>
        <v>721</v>
      </c>
      <c r="L351" s="10" t="str">
        <f t="shared" si="11"/>
        <v>12+ Months</v>
      </c>
      <c r="M351"/>
      <c r="N351" s="1"/>
      <c r="O351" s="8"/>
      <c r="P351" s="9"/>
      <c r="Q351"/>
      <c r="R351"/>
      <c r="V351"/>
      <c r="W351"/>
      <c r="X351"/>
    </row>
    <row r="352" spans="2:24" x14ac:dyDescent="0.3">
      <c r="B352" s="10" t="str">
        <f t="shared" ca="1" si="10"/>
        <v>HCP_685976</v>
      </c>
      <c r="C352" s="11" t="s">
        <v>8</v>
      </c>
      <c r="D352" s="12">
        <v>44027</v>
      </c>
      <c r="E352" s="12">
        <v>44826</v>
      </c>
      <c r="F352" s="11">
        <v>34</v>
      </c>
      <c r="G352" s="11">
        <v>46</v>
      </c>
      <c r="H352" s="11">
        <v>6</v>
      </c>
      <c r="I352" s="11" t="s">
        <v>19</v>
      </c>
      <c r="J352" s="13" t="s">
        <v>10</v>
      </c>
      <c r="K352" s="10">
        <f>Table1[[#This Row],[Date of last Dispense]]-Table1[[#This Row],[Date of 1st Dispense]]</f>
        <v>799</v>
      </c>
      <c r="L352" s="10" t="str">
        <f t="shared" si="11"/>
        <v>12+ Months</v>
      </c>
      <c r="M352"/>
      <c r="N352" s="1"/>
      <c r="O352" s="8"/>
      <c r="P352" s="9"/>
      <c r="Q352"/>
      <c r="R352"/>
      <c r="V352"/>
      <c r="W352"/>
      <c r="X352"/>
    </row>
    <row r="353" spans="2:24" x14ac:dyDescent="0.3">
      <c r="B353" s="10" t="str">
        <f t="shared" ca="1" si="10"/>
        <v>HCP_379733</v>
      </c>
      <c r="C353" s="11" t="s">
        <v>24</v>
      </c>
      <c r="D353" s="12">
        <v>44025</v>
      </c>
      <c r="E353" s="12">
        <v>44819</v>
      </c>
      <c r="F353" s="11">
        <v>33</v>
      </c>
      <c r="G353" s="11">
        <v>21</v>
      </c>
      <c r="H353" s="11">
        <v>15</v>
      </c>
      <c r="I353" s="11" t="s">
        <v>9</v>
      </c>
      <c r="J353" s="13" t="s">
        <v>10</v>
      </c>
      <c r="K353" s="10">
        <f>Table1[[#This Row],[Date of last Dispense]]-Table1[[#This Row],[Date of 1st Dispense]]</f>
        <v>794</v>
      </c>
      <c r="L353" s="10" t="str">
        <f t="shared" si="11"/>
        <v>12+ Months</v>
      </c>
      <c r="M353"/>
      <c r="N353" s="1"/>
      <c r="O353" s="8"/>
      <c r="P353" s="9"/>
      <c r="Q353"/>
      <c r="R353"/>
      <c r="V353"/>
      <c r="W353"/>
      <c r="X353"/>
    </row>
    <row r="354" spans="2:24" x14ac:dyDescent="0.3">
      <c r="B354" s="10" t="str">
        <f t="shared" ca="1" si="10"/>
        <v>HCP_982103</v>
      </c>
      <c r="C354" s="11" t="s">
        <v>8</v>
      </c>
      <c r="D354" s="12">
        <v>44025</v>
      </c>
      <c r="E354" s="12">
        <v>44400</v>
      </c>
      <c r="F354" s="11">
        <v>21</v>
      </c>
      <c r="G354" s="11">
        <v>12</v>
      </c>
      <c r="H354" s="11">
        <v>17</v>
      </c>
      <c r="I354" s="11" t="s">
        <v>13</v>
      </c>
      <c r="J354" s="13" t="s">
        <v>16</v>
      </c>
      <c r="K354" s="10">
        <f>Table1[[#This Row],[Date of last Dispense]]-Table1[[#This Row],[Date of 1st Dispense]]</f>
        <v>375</v>
      </c>
      <c r="L354" s="10" t="str">
        <f t="shared" si="11"/>
        <v>12+ Months</v>
      </c>
      <c r="M354"/>
      <c r="N354" s="1"/>
      <c r="O354" s="8"/>
      <c r="P354" s="9"/>
      <c r="Q354"/>
      <c r="R354"/>
      <c r="V354"/>
      <c r="W354"/>
      <c r="X354"/>
    </row>
    <row r="355" spans="2:24" x14ac:dyDescent="0.3">
      <c r="B355" s="10" t="str">
        <f t="shared" ca="1" si="10"/>
        <v>HCP_634054</v>
      </c>
      <c r="C355" s="11" t="s">
        <v>8</v>
      </c>
      <c r="D355" s="12">
        <v>44025</v>
      </c>
      <c r="E355" s="12">
        <v>44213</v>
      </c>
      <c r="F355" s="11">
        <v>6</v>
      </c>
      <c r="G355" s="11">
        <v>28</v>
      </c>
      <c r="H355" s="11">
        <v>2</v>
      </c>
      <c r="I355" s="11" t="s">
        <v>19</v>
      </c>
      <c r="J355" s="13" t="s">
        <v>16</v>
      </c>
      <c r="K355" s="10">
        <f>Table1[[#This Row],[Date of last Dispense]]-Table1[[#This Row],[Date of 1st Dispense]]</f>
        <v>188</v>
      </c>
      <c r="L355" s="10" t="str">
        <f t="shared" si="11"/>
        <v>6-12 Months</v>
      </c>
      <c r="M355"/>
      <c r="N355" s="1"/>
      <c r="O355" s="8"/>
      <c r="P355" s="9"/>
      <c r="Q355"/>
      <c r="R355"/>
      <c r="V355"/>
      <c r="W355"/>
      <c r="X355"/>
    </row>
    <row r="356" spans="2:24" x14ac:dyDescent="0.3">
      <c r="B356" s="10" t="str">
        <f t="shared" ca="1" si="10"/>
        <v>HCP_513481</v>
      </c>
      <c r="C356" s="11" t="s">
        <v>8</v>
      </c>
      <c r="D356" s="12">
        <v>44021</v>
      </c>
      <c r="E356" s="12">
        <v>44796</v>
      </c>
      <c r="F356" s="11">
        <v>43</v>
      </c>
      <c r="G356" s="11">
        <v>24</v>
      </c>
      <c r="H356" s="11">
        <v>23</v>
      </c>
      <c r="I356" s="11" t="s">
        <v>13</v>
      </c>
      <c r="J356" s="13" t="s">
        <v>10</v>
      </c>
      <c r="K356" s="10">
        <f>Table1[[#This Row],[Date of last Dispense]]-Table1[[#This Row],[Date of 1st Dispense]]</f>
        <v>775</v>
      </c>
      <c r="L356" s="10" t="str">
        <f t="shared" si="11"/>
        <v>12+ Months</v>
      </c>
      <c r="M356"/>
      <c r="N356" s="1"/>
      <c r="O356" s="8"/>
      <c r="P356" s="9"/>
      <c r="Q356"/>
      <c r="R356"/>
      <c r="V356"/>
      <c r="W356"/>
      <c r="X356"/>
    </row>
    <row r="357" spans="2:24" x14ac:dyDescent="0.3">
      <c r="B357" s="10" t="str">
        <f t="shared" ca="1" si="10"/>
        <v>HCP_592263</v>
      </c>
      <c r="C357" s="11" t="s">
        <v>20</v>
      </c>
      <c r="D357" s="12">
        <v>44544</v>
      </c>
      <c r="E357" s="12">
        <v>44816</v>
      </c>
      <c r="F357" s="11">
        <v>52</v>
      </c>
      <c r="G357" s="11">
        <v>44</v>
      </c>
      <c r="H357" s="11">
        <v>11</v>
      </c>
      <c r="I357" s="11" t="s">
        <v>13</v>
      </c>
      <c r="J357" s="13" t="s">
        <v>10</v>
      </c>
      <c r="K357" s="10">
        <f>Table1[[#This Row],[Date of last Dispense]]-Table1[[#This Row],[Date of 1st Dispense]]</f>
        <v>272</v>
      </c>
      <c r="L357" s="10" t="str">
        <f t="shared" si="11"/>
        <v>6-12 Months</v>
      </c>
      <c r="M357"/>
      <c r="N357" s="1"/>
      <c r="O357" s="8"/>
      <c r="P357" s="9"/>
      <c r="Q357"/>
      <c r="R357"/>
      <c r="V357"/>
      <c r="W357"/>
      <c r="X357"/>
    </row>
    <row r="358" spans="2:24" x14ac:dyDescent="0.3">
      <c r="B358" s="10" t="str">
        <f t="shared" ca="1" si="10"/>
        <v>HCP_166569</v>
      </c>
      <c r="C358" s="11" t="s">
        <v>8</v>
      </c>
      <c r="D358" s="12">
        <v>44018</v>
      </c>
      <c r="E358" s="12">
        <v>44823</v>
      </c>
      <c r="F358" s="11">
        <v>48</v>
      </c>
      <c r="G358" s="11">
        <v>27</v>
      </c>
      <c r="H358" s="11">
        <v>29</v>
      </c>
      <c r="I358" s="11" t="s">
        <v>14</v>
      </c>
      <c r="J358" s="13" t="s">
        <v>10</v>
      </c>
      <c r="K358" s="10">
        <f>Table1[[#This Row],[Date of last Dispense]]-Table1[[#This Row],[Date of 1st Dispense]]</f>
        <v>805</v>
      </c>
      <c r="L358" s="10" t="str">
        <f t="shared" si="11"/>
        <v>12+ Months</v>
      </c>
      <c r="M358"/>
      <c r="N358" s="1"/>
      <c r="O358" s="8"/>
      <c r="P358" s="9"/>
      <c r="Q358"/>
      <c r="R358"/>
      <c r="V358"/>
      <c r="W358"/>
      <c r="X358"/>
    </row>
    <row r="359" spans="2:24" x14ac:dyDescent="0.3">
      <c r="B359" s="10" t="str">
        <f t="shared" ca="1" si="10"/>
        <v>HCP_249750</v>
      </c>
      <c r="C359" s="11" t="s">
        <v>8</v>
      </c>
      <c r="D359" s="12">
        <v>44013</v>
      </c>
      <c r="E359" s="12">
        <v>44825</v>
      </c>
      <c r="F359" s="11">
        <v>50</v>
      </c>
      <c r="G359" s="11">
        <v>46</v>
      </c>
      <c r="H359" s="11">
        <v>21</v>
      </c>
      <c r="I359" s="11" t="s">
        <v>14</v>
      </c>
      <c r="J359" s="13" t="s">
        <v>10</v>
      </c>
      <c r="K359" s="10">
        <f>Table1[[#This Row],[Date of last Dispense]]-Table1[[#This Row],[Date of 1st Dispense]]</f>
        <v>812</v>
      </c>
      <c r="L359" s="10" t="str">
        <f t="shared" si="11"/>
        <v>12+ Months</v>
      </c>
      <c r="M359"/>
      <c r="N359" s="1"/>
      <c r="O359" s="8"/>
      <c r="P359" s="9"/>
      <c r="Q359"/>
      <c r="R359"/>
      <c r="V359"/>
      <c r="W359"/>
      <c r="X359"/>
    </row>
    <row r="360" spans="2:24" x14ac:dyDescent="0.3">
      <c r="B360" s="10" t="str">
        <f t="shared" ca="1" si="10"/>
        <v>HCP_919547</v>
      </c>
      <c r="C360" s="11" t="s">
        <v>8</v>
      </c>
      <c r="D360" s="12">
        <v>44013</v>
      </c>
      <c r="E360" s="12">
        <v>44670</v>
      </c>
      <c r="F360" s="11">
        <v>32</v>
      </c>
      <c r="G360" s="11">
        <v>1</v>
      </c>
      <c r="H360" s="11">
        <v>4</v>
      </c>
      <c r="I360" s="11" t="s">
        <v>15</v>
      </c>
      <c r="J360" s="13" t="s">
        <v>16</v>
      </c>
      <c r="K360" s="10">
        <f>Table1[[#This Row],[Date of last Dispense]]-Table1[[#This Row],[Date of 1st Dispense]]</f>
        <v>657</v>
      </c>
      <c r="L360" s="10" t="str">
        <f t="shared" si="11"/>
        <v>12+ Months</v>
      </c>
      <c r="M360"/>
      <c r="N360" s="1"/>
      <c r="O360" s="8"/>
      <c r="P360" s="9"/>
      <c r="Q360"/>
      <c r="R360"/>
      <c r="V360"/>
      <c r="W360"/>
      <c r="X360"/>
    </row>
    <row r="361" spans="2:24" x14ac:dyDescent="0.3">
      <c r="B361" s="10" t="str">
        <f t="shared" ca="1" si="10"/>
        <v>HCP_171809</v>
      </c>
      <c r="C361" s="11" t="s">
        <v>8</v>
      </c>
      <c r="D361" s="12">
        <v>44013</v>
      </c>
      <c r="E361" s="12">
        <v>44791</v>
      </c>
      <c r="F361" s="11">
        <v>50</v>
      </c>
      <c r="G361" s="11">
        <v>49</v>
      </c>
      <c r="H361" s="11">
        <v>24</v>
      </c>
      <c r="I361" s="11" t="s">
        <v>19</v>
      </c>
      <c r="J361" s="13" t="s">
        <v>10</v>
      </c>
      <c r="K361" s="10">
        <f>Table1[[#This Row],[Date of last Dispense]]-Table1[[#This Row],[Date of 1st Dispense]]</f>
        <v>778</v>
      </c>
      <c r="L361" s="10" t="str">
        <f t="shared" si="11"/>
        <v>12+ Months</v>
      </c>
      <c r="M361"/>
      <c r="N361" s="1"/>
      <c r="O361" s="8"/>
      <c r="P361" s="9"/>
      <c r="Q361"/>
      <c r="R361"/>
      <c r="V361"/>
      <c r="W361"/>
      <c r="X361"/>
    </row>
    <row r="362" spans="2:24" x14ac:dyDescent="0.3">
      <c r="B362" s="10" t="str">
        <f t="shared" ca="1" si="10"/>
        <v>HCP_584681</v>
      </c>
      <c r="C362" s="11" t="s">
        <v>8</v>
      </c>
      <c r="D362" s="12">
        <v>44011</v>
      </c>
      <c r="E362" s="12">
        <v>44825</v>
      </c>
      <c r="F362" s="11">
        <v>9</v>
      </c>
      <c r="G362" s="11">
        <v>5</v>
      </c>
      <c r="H362" s="11">
        <v>18</v>
      </c>
      <c r="I362" s="11" t="s">
        <v>9</v>
      </c>
      <c r="J362" s="13" t="s">
        <v>10</v>
      </c>
      <c r="K362" s="10">
        <f>Table1[[#This Row],[Date of last Dispense]]-Table1[[#This Row],[Date of 1st Dispense]]</f>
        <v>814</v>
      </c>
      <c r="L362" s="10" t="str">
        <f t="shared" si="11"/>
        <v>12+ Months</v>
      </c>
      <c r="M362"/>
      <c r="N362" s="1"/>
      <c r="O362" s="8"/>
      <c r="P362" s="9"/>
      <c r="Q362"/>
      <c r="R362"/>
      <c r="V362"/>
      <c r="W362"/>
      <c r="X362"/>
    </row>
    <row r="363" spans="2:24" x14ac:dyDescent="0.3">
      <c r="B363" s="10" t="str">
        <f t="shared" ca="1" si="10"/>
        <v>HCP_228714</v>
      </c>
      <c r="C363" s="11" t="s">
        <v>24</v>
      </c>
      <c r="D363" s="12">
        <v>44011</v>
      </c>
      <c r="E363" s="12">
        <v>44816</v>
      </c>
      <c r="F363" s="11">
        <v>64</v>
      </c>
      <c r="G363" s="11">
        <v>10</v>
      </c>
      <c r="H363" s="11">
        <v>25</v>
      </c>
      <c r="I363" s="11" t="s">
        <v>13</v>
      </c>
      <c r="J363" s="13" t="s">
        <v>10</v>
      </c>
      <c r="K363" s="10">
        <f>Table1[[#This Row],[Date of last Dispense]]-Table1[[#This Row],[Date of 1st Dispense]]</f>
        <v>805</v>
      </c>
      <c r="L363" s="10" t="str">
        <f t="shared" si="11"/>
        <v>12+ Months</v>
      </c>
      <c r="M363"/>
      <c r="N363" s="1"/>
      <c r="O363" s="8"/>
      <c r="P363" s="9"/>
      <c r="Q363"/>
      <c r="R363"/>
      <c r="V363"/>
      <c r="W363"/>
      <c r="X363"/>
    </row>
    <row r="364" spans="2:24" x14ac:dyDescent="0.3">
      <c r="B364" s="10" t="str">
        <f t="shared" ca="1" si="10"/>
        <v>HCP_195989</v>
      </c>
      <c r="C364" s="11" t="s">
        <v>8</v>
      </c>
      <c r="D364" s="12">
        <v>44011</v>
      </c>
      <c r="E364" s="12">
        <v>44826</v>
      </c>
      <c r="F364" s="11">
        <v>60</v>
      </c>
      <c r="G364" s="11">
        <v>11</v>
      </c>
      <c r="H364" s="11">
        <v>20</v>
      </c>
      <c r="I364" s="11" t="s">
        <v>19</v>
      </c>
      <c r="J364" s="13" t="s">
        <v>10</v>
      </c>
      <c r="K364" s="10">
        <f>Table1[[#This Row],[Date of last Dispense]]-Table1[[#This Row],[Date of 1st Dispense]]</f>
        <v>815</v>
      </c>
      <c r="L364" s="10" t="str">
        <f t="shared" si="11"/>
        <v>12+ Months</v>
      </c>
      <c r="M364"/>
      <c r="N364" s="1"/>
      <c r="O364" s="8"/>
      <c r="P364" s="9"/>
      <c r="Q364"/>
      <c r="R364"/>
      <c r="V364"/>
      <c r="W364"/>
      <c r="X364"/>
    </row>
    <row r="365" spans="2:24" x14ac:dyDescent="0.3">
      <c r="B365" s="10" t="str">
        <f t="shared" ca="1" si="10"/>
        <v>HCP_181450</v>
      </c>
      <c r="C365" s="11" t="s">
        <v>17</v>
      </c>
      <c r="D365" s="12">
        <v>44011</v>
      </c>
      <c r="E365" s="12">
        <v>44819</v>
      </c>
      <c r="F365" s="11">
        <v>30</v>
      </c>
      <c r="G365" s="11">
        <v>35</v>
      </c>
      <c r="H365" s="11">
        <v>10</v>
      </c>
      <c r="I365" s="11" t="s">
        <v>14</v>
      </c>
      <c r="J365" s="13" t="s">
        <v>10</v>
      </c>
      <c r="K365" s="10">
        <f>Table1[[#This Row],[Date of last Dispense]]-Table1[[#This Row],[Date of 1st Dispense]]</f>
        <v>808</v>
      </c>
      <c r="L365" s="10" t="str">
        <f t="shared" si="11"/>
        <v>12+ Months</v>
      </c>
      <c r="M365"/>
      <c r="N365" s="1"/>
      <c r="O365" s="8"/>
      <c r="P365" s="9"/>
      <c r="Q365"/>
      <c r="R365"/>
      <c r="V365"/>
      <c r="W365"/>
      <c r="X365"/>
    </row>
    <row r="366" spans="2:24" x14ac:dyDescent="0.3">
      <c r="B366" s="10" t="str">
        <f t="shared" ca="1" si="10"/>
        <v>HCP_853403</v>
      </c>
      <c r="C366" s="11" t="s">
        <v>8</v>
      </c>
      <c r="D366" s="12">
        <v>44004</v>
      </c>
      <c r="E366" s="12">
        <v>44642</v>
      </c>
      <c r="F366" s="11">
        <v>28</v>
      </c>
      <c r="G366" s="11">
        <v>46</v>
      </c>
      <c r="H366" s="11">
        <v>20</v>
      </c>
      <c r="I366" s="11" t="s">
        <v>14</v>
      </c>
      <c r="J366" s="13" t="s">
        <v>16</v>
      </c>
      <c r="K366" s="10">
        <f>Table1[[#This Row],[Date of last Dispense]]-Table1[[#This Row],[Date of 1st Dispense]]</f>
        <v>638</v>
      </c>
      <c r="L366" s="10" t="str">
        <f t="shared" si="11"/>
        <v>12+ Months</v>
      </c>
      <c r="M366"/>
      <c r="N366" s="1"/>
      <c r="O366" s="8"/>
      <c r="P366" s="9"/>
      <c r="Q366"/>
      <c r="R366"/>
      <c r="V366"/>
      <c r="W366"/>
      <c r="X366"/>
    </row>
    <row r="367" spans="2:24" x14ac:dyDescent="0.3">
      <c r="B367" s="10" t="str">
        <f t="shared" ca="1" si="10"/>
        <v>HCP_799218</v>
      </c>
      <c r="C367" s="11" t="s">
        <v>8</v>
      </c>
      <c r="D367" s="12">
        <v>44004</v>
      </c>
      <c r="E367" s="12">
        <v>44774</v>
      </c>
      <c r="F367" s="11">
        <v>32</v>
      </c>
      <c r="G367" s="11">
        <v>43</v>
      </c>
      <c r="H367" s="11">
        <v>21</v>
      </c>
      <c r="I367" s="11" t="s">
        <v>15</v>
      </c>
      <c r="J367" s="13" t="s">
        <v>10</v>
      </c>
      <c r="K367" s="10">
        <f>Table1[[#This Row],[Date of last Dispense]]-Table1[[#This Row],[Date of 1st Dispense]]</f>
        <v>770</v>
      </c>
      <c r="L367" s="10" t="str">
        <f t="shared" si="11"/>
        <v>12+ Months</v>
      </c>
      <c r="M367"/>
      <c r="N367" s="1"/>
      <c r="O367" s="8"/>
      <c r="P367" s="9"/>
      <c r="Q367"/>
      <c r="R367"/>
      <c r="V367"/>
      <c r="W367"/>
      <c r="X367"/>
    </row>
    <row r="368" spans="2:24" x14ac:dyDescent="0.3">
      <c r="B368" s="10" t="str">
        <f t="shared" ca="1" si="10"/>
        <v>HCP_870492</v>
      </c>
      <c r="C368" s="11" t="s">
        <v>17</v>
      </c>
      <c r="D368" s="12">
        <v>44004</v>
      </c>
      <c r="E368" s="12">
        <v>44370</v>
      </c>
      <c r="F368" s="11">
        <v>0</v>
      </c>
      <c r="G368" s="11">
        <v>40</v>
      </c>
      <c r="H368" s="11">
        <v>9</v>
      </c>
      <c r="I368" s="11" t="s">
        <v>13</v>
      </c>
      <c r="J368" s="13" t="s">
        <v>16</v>
      </c>
      <c r="K368" s="10">
        <f>Table1[[#This Row],[Date of last Dispense]]-Table1[[#This Row],[Date of 1st Dispense]]</f>
        <v>366</v>
      </c>
      <c r="L368" s="10" t="str">
        <f t="shared" si="11"/>
        <v>12+ Months</v>
      </c>
      <c r="M368"/>
      <c r="N368" s="1"/>
      <c r="O368" s="8"/>
      <c r="P368" s="9"/>
      <c r="Q368"/>
      <c r="R368"/>
      <c r="V368"/>
      <c r="W368"/>
      <c r="X368"/>
    </row>
    <row r="369" spans="2:24" x14ac:dyDescent="0.3">
      <c r="B369" s="10" t="str">
        <f t="shared" ca="1" si="10"/>
        <v>HCP_189427</v>
      </c>
      <c r="C369" s="11" t="s">
        <v>8</v>
      </c>
      <c r="D369" s="12">
        <v>44000</v>
      </c>
      <c r="E369" s="12">
        <v>44810</v>
      </c>
      <c r="F369" s="11">
        <v>46</v>
      </c>
      <c r="G369" s="11">
        <v>33</v>
      </c>
      <c r="H369" s="11">
        <v>24</v>
      </c>
      <c r="I369" s="11" t="s">
        <v>9</v>
      </c>
      <c r="J369" s="13" t="s">
        <v>10</v>
      </c>
      <c r="K369" s="10">
        <f>Table1[[#This Row],[Date of last Dispense]]-Table1[[#This Row],[Date of 1st Dispense]]</f>
        <v>810</v>
      </c>
      <c r="L369" s="10" t="str">
        <f t="shared" si="11"/>
        <v>12+ Months</v>
      </c>
      <c r="M369"/>
      <c r="N369" s="1"/>
      <c r="O369" s="8"/>
      <c r="P369" s="9"/>
      <c r="Q369"/>
      <c r="R369"/>
      <c r="V369"/>
      <c r="W369"/>
      <c r="X369"/>
    </row>
    <row r="370" spans="2:24" x14ac:dyDescent="0.3">
      <c r="B370" s="10" t="str">
        <f t="shared" ca="1" si="10"/>
        <v>HCP_493286</v>
      </c>
      <c r="C370" s="11" t="s">
        <v>20</v>
      </c>
      <c r="D370" s="12">
        <v>43999</v>
      </c>
      <c r="E370" s="12">
        <v>44825</v>
      </c>
      <c r="F370" s="11">
        <v>0</v>
      </c>
      <c r="G370" s="11">
        <v>0</v>
      </c>
      <c r="H370" s="11">
        <v>21</v>
      </c>
      <c r="I370" s="11" t="s">
        <v>13</v>
      </c>
      <c r="J370" s="13" t="s">
        <v>10</v>
      </c>
      <c r="K370" s="10">
        <f>Table1[[#This Row],[Date of last Dispense]]-Table1[[#This Row],[Date of 1st Dispense]]</f>
        <v>826</v>
      </c>
      <c r="L370" s="10" t="str">
        <f t="shared" si="11"/>
        <v>12+ Months</v>
      </c>
      <c r="M370"/>
      <c r="N370" s="1"/>
      <c r="O370" s="8"/>
      <c r="P370" s="9"/>
      <c r="Q370"/>
      <c r="R370"/>
      <c r="V370"/>
      <c r="W370"/>
      <c r="X370"/>
    </row>
    <row r="371" spans="2:24" x14ac:dyDescent="0.3">
      <c r="B371" s="10" t="str">
        <f t="shared" ca="1" si="10"/>
        <v>HCP_905109</v>
      </c>
      <c r="C371" s="11" t="s">
        <v>8</v>
      </c>
      <c r="D371" s="12">
        <v>43998</v>
      </c>
      <c r="E371" s="12">
        <v>44195</v>
      </c>
      <c r="F371" s="11">
        <v>7</v>
      </c>
      <c r="G371" s="11">
        <v>17</v>
      </c>
      <c r="H371" s="11">
        <v>5</v>
      </c>
      <c r="I371" s="11" t="s">
        <v>19</v>
      </c>
      <c r="J371" s="13" t="s">
        <v>16</v>
      </c>
      <c r="K371" s="10">
        <f>Table1[[#This Row],[Date of last Dispense]]-Table1[[#This Row],[Date of 1st Dispense]]</f>
        <v>197</v>
      </c>
      <c r="L371" s="10" t="str">
        <f t="shared" si="11"/>
        <v>6-12 Months</v>
      </c>
      <c r="M371"/>
      <c r="N371" s="1"/>
      <c r="O371" s="8"/>
      <c r="P371" s="9"/>
      <c r="Q371"/>
      <c r="R371"/>
      <c r="V371"/>
      <c r="W371"/>
      <c r="X371"/>
    </row>
    <row r="372" spans="2:24" x14ac:dyDescent="0.3">
      <c r="B372" s="10" t="str">
        <f t="shared" ca="1" si="10"/>
        <v>HCP_633974</v>
      </c>
      <c r="C372" s="11" t="s">
        <v>20</v>
      </c>
      <c r="D372" s="12">
        <v>43997</v>
      </c>
      <c r="E372" s="12">
        <v>44827</v>
      </c>
      <c r="F372" s="11">
        <v>21</v>
      </c>
      <c r="G372" s="11">
        <v>11</v>
      </c>
      <c r="H372" s="11">
        <v>8</v>
      </c>
      <c r="I372" s="11" t="s">
        <v>13</v>
      </c>
      <c r="J372" s="13" t="s">
        <v>10</v>
      </c>
      <c r="K372" s="10">
        <f>Table1[[#This Row],[Date of last Dispense]]-Table1[[#This Row],[Date of 1st Dispense]]</f>
        <v>830</v>
      </c>
      <c r="L372" s="10" t="str">
        <f t="shared" si="11"/>
        <v>12+ Months</v>
      </c>
      <c r="M372"/>
      <c r="N372" s="1"/>
      <c r="O372" s="8"/>
      <c r="P372" s="9"/>
      <c r="Q372"/>
      <c r="R372"/>
      <c r="V372"/>
      <c r="W372"/>
      <c r="X372"/>
    </row>
    <row r="373" spans="2:24" x14ac:dyDescent="0.3">
      <c r="B373" s="10" t="str">
        <f t="shared" ca="1" si="10"/>
        <v>HCP_166981</v>
      </c>
      <c r="C373" s="11" t="s">
        <v>8</v>
      </c>
      <c r="D373" s="12">
        <v>43997</v>
      </c>
      <c r="E373" s="12">
        <v>44826</v>
      </c>
      <c r="F373" s="11">
        <v>33</v>
      </c>
      <c r="G373" s="11">
        <v>20</v>
      </c>
      <c r="H373" s="11">
        <v>24</v>
      </c>
      <c r="I373" s="11" t="s">
        <v>9</v>
      </c>
      <c r="J373" s="13" t="s">
        <v>10</v>
      </c>
      <c r="K373" s="10">
        <f>Table1[[#This Row],[Date of last Dispense]]-Table1[[#This Row],[Date of 1st Dispense]]</f>
        <v>829</v>
      </c>
      <c r="L373" s="10" t="str">
        <f t="shared" si="11"/>
        <v>12+ Months</v>
      </c>
      <c r="M373"/>
      <c r="N373" s="1"/>
      <c r="O373" s="8"/>
      <c r="P373" s="9"/>
      <c r="Q373"/>
      <c r="R373"/>
      <c r="V373"/>
      <c r="W373"/>
      <c r="X373"/>
    </row>
    <row r="374" spans="2:24" x14ac:dyDescent="0.3">
      <c r="B374" s="10" t="str">
        <f t="shared" ca="1" si="10"/>
        <v>HCP_367928</v>
      </c>
      <c r="C374" s="11" t="s">
        <v>8</v>
      </c>
      <c r="D374" s="12">
        <v>43997</v>
      </c>
      <c r="E374" s="12">
        <v>44803</v>
      </c>
      <c r="F374" s="11">
        <v>36</v>
      </c>
      <c r="G374" s="11">
        <v>4</v>
      </c>
      <c r="H374" s="11">
        <v>22</v>
      </c>
      <c r="I374" s="11" t="s">
        <v>13</v>
      </c>
      <c r="J374" s="13" t="s">
        <v>10</v>
      </c>
      <c r="K374" s="10">
        <f>Table1[[#This Row],[Date of last Dispense]]-Table1[[#This Row],[Date of 1st Dispense]]</f>
        <v>806</v>
      </c>
      <c r="L374" s="10" t="str">
        <f t="shared" si="11"/>
        <v>12+ Months</v>
      </c>
      <c r="M374"/>
      <c r="N374" s="1"/>
      <c r="O374" s="8"/>
      <c r="P374" s="9"/>
      <c r="Q374"/>
      <c r="R374"/>
      <c r="V374"/>
      <c r="W374"/>
      <c r="X374"/>
    </row>
    <row r="375" spans="2:24" x14ac:dyDescent="0.3">
      <c r="B375" s="10" t="str">
        <f t="shared" ca="1" si="10"/>
        <v>HCP_446207</v>
      </c>
      <c r="C375" s="11" t="s">
        <v>8</v>
      </c>
      <c r="D375" s="12">
        <v>43993</v>
      </c>
      <c r="E375" s="12">
        <v>44664</v>
      </c>
      <c r="F375" s="11">
        <v>56</v>
      </c>
      <c r="G375" s="11">
        <v>48</v>
      </c>
      <c r="H375" s="11">
        <v>16</v>
      </c>
      <c r="I375" s="11" t="s">
        <v>14</v>
      </c>
      <c r="J375" s="13" t="s">
        <v>16</v>
      </c>
      <c r="K375" s="10">
        <f>Table1[[#This Row],[Date of last Dispense]]-Table1[[#This Row],[Date of 1st Dispense]]</f>
        <v>671</v>
      </c>
      <c r="L375" s="10" t="str">
        <f t="shared" si="11"/>
        <v>12+ Months</v>
      </c>
      <c r="M375"/>
      <c r="N375" s="1"/>
      <c r="O375" s="8"/>
      <c r="P375" s="9"/>
      <c r="Q375"/>
      <c r="R375"/>
      <c r="V375"/>
      <c r="W375"/>
      <c r="X375"/>
    </row>
    <row r="376" spans="2:24" x14ac:dyDescent="0.3">
      <c r="B376" s="10" t="str">
        <f t="shared" ca="1" si="10"/>
        <v>HCP_639593</v>
      </c>
      <c r="C376" s="11" t="s">
        <v>8</v>
      </c>
      <c r="D376" s="12">
        <v>44236</v>
      </c>
      <c r="E376" s="12">
        <v>44826</v>
      </c>
      <c r="F376" s="11">
        <v>43</v>
      </c>
      <c r="G376" s="11">
        <v>28</v>
      </c>
      <c r="H376" s="11">
        <v>29</v>
      </c>
      <c r="I376" s="11" t="s">
        <v>19</v>
      </c>
      <c r="J376" s="13" t="s">
        <v>10</v>
      </c>
      <c r="K376" s="10">
        <f>Table1[[#This Row],[Date of last Dispense]]-Table1[[#This Row],[Date of 1st Dispense]]</f>
        <v>590</v>
      </c>
      <c r="L376" s="10" t="str">
        <f t="shared" si="11"/>
        <v>12+ Months</v>
      </c>
      <c r="M376"/>
      <c r="N376" s="1"/>
      <c r="O376" s="8"/>
      <c r="P376" s="9"/>
      <c r="Q376"/>
      <c r="R376"/>
      <c r="V376"/>
      <c r="W376"/>
      <c r="X376"/>
    </row>
    <row r="377" spans="2:24" x14ac:dyDescent="0.3">
      <c r="B377" s="10" t="str">
        <f t="shared" ca="1" si="10"/>
        <v>HCP_825900</v>
      </c>
      <c r="C377" s="11" t="s">
        <v>8</v>
      </c>
      <c r="D377" s="12">
        <v>43992</v>
      </c>
      <c r="E377" s="12">
        <v>44784</v>
      </c>
      <c r="F377" s="11">
        <v>33</v>
      </c>
      <c r="G377" s="11">
        <v>4</v>
      </c>
      <c r="H377" s="11">
        <v>22</v>
      </c>
      <c r="I377" s="11" t="s">
        <v>19</v>
      </c>
      <c r="J377" s="13" t="s">
        <v>10</v>
      </c>
      <c r="K377" s="10">
        <f>Table1[[#This Row],[Date of last Dispense]]-Table1[[#This Row],[Date of 1st Dispense]]</f>
        <v>792</v>
      </c>
      <c r="L377" s="10" t="str">
        <f t="shared" si="11"/>
        <v>12+ Months</v>
      </c>
      <c r="M377"/>
      <c r="N377" s="1"/>
      <c r="O377" s="8"/>
      <c r="P377" s="9"/>
      <c r="Q377"/>
      <c r="R377"/>
      <c r="V377"/>
      <c r="W377"/>
      <c r="X377"/>
    </row>
    <row r="378" spans="2:24" x14ac:dyDescent="0.3">
      <c r="B378" s="10" t="str">
        <f t="shared" ca="1" si="10"/>
        <v>HCP_232072</v>
      </c>
      <c r="C378" s="11" t="s">
        <v>8</v>
      </c>
      <c r="D378" s="12">
        <v>43991</v>
      </c>
      <c r="E378" s="12">
        <v>44824</v>
      </c>
      <c r="F378" s="11">
        <v>32</v>
      </c>
      <c r="G378" s="11">
        <v>16</v>
      </c>
      <c r="H378" s="11">
        <v>22</v>
      </c>
      <c r="I378" s="11" t="s">
        <v>19</v>
      </c>
      <c r="J378" s="13" t="s">
        <v>10</v>
      </c>
      <c r="K378" s="10">
        <f>Table1[[#This Row],[Date of last Dispense]]-Table1[[#This Row],[Date of 1st Dispense]]</f>
        <v>833</v>
      </c>
      <c r="L378" s="10" t="str">
        <f t="shared" si="11"/>
        <v>12+ Months</v>
      </c>
      <c r="M378"/>
      <c r="N378" s="1"/>
      <c r="O378" s="8"/>
      <c r="P378" s="9"/>
      <c r="Q378"/>
      <c r="R378"/>
      <c r="V378"/>
      <c r="W378"/>
      <c r="X378"/>
    </row>
    <row r="379" spans="2:24" x14ac:dyDescent="0.3">
      <c r="B379" s="10" t="str">
        <f t="shared" ca="1" si="10"/>
        <v>HCP_293618</v>
      </c>
      <c r="C379" s="11" t="s">
        <v>8</v>
      </c>
      <c r="D379" s="12">
        <v>43991</v>
      </c>
      <c r="E379" s="12">
        <v>44818</v>
      </c>
      <c r="F379" s="11">
        <v>3</v>
      </c>
      <c r="G379" s="11">
        <v>15</v>
      </c>
      <c r="H379" s="11">
        <v>1</v>
      </c>
      <c r="I379" s="11" t="s">
        <v>19</v>
      </c>
      <c r="J379" s="13" t="s">
        <v>10</v>
      </c>
      <c r="K379" s="10">
        <f>Table1[[#This Row],[Date of last Dispense]]-Table1[[#This Row],[Date of 1st Dispense]]</f>
        <v>827</v>
      </c>
      <c r="L379" s="10" t="str">
        <f t="shared" si="11"/>
        <v>12+ Months</v>
      </c>
      <c r="M379"/>
      <c r="N379" s="1"/>
      <c r="O379" s="8"/>
      <c r="P379" s="9"/>
      <c r="Q379"/>
      <c r="R379"/>
      <c r="V379"/>
      <c r="W379"/>
      <c r="X379"/>
    </row>
    <row r="380" spans="2:24" x14ac:dyDescent="0.3">
      <c r="B380" s="10" t="str">
        <f t="shared" ca="1" si="10"/>
        <v>HCP_584056</v>
      </c>
      <c r="C380" s="11" t="s">
        <v>8</v>
      </c>
      <c r="D380" s="12">
        <v>43990</v>
      </c>
      <c r="E380" s="12">
        <v>44824</v>
      </c>
      <c r="F380" s="11">
        <v>44</v>
      </c>
      <c r="G380" s="11">
        <v>30</v>
      </c>
      <c r="H380" s="11">
        <v>6</v>
      </c>
      <c r="I380" s="11" t="s">
        <v>19</v>
      </c>
      <c r="J380" s="13" t="s">
        <v>10</v>
      </c>
      <c r="K380" s="10">
        <f>Table1[[#This Row],[Date of last Dispense]]-Table1[[#This Row],[Date of 1st Dispense]]</f>
        <v>834</v>
      </c>
      <c r="L380" s="10" t="str">
        <f t="shared" si="11"/>
        <v>12+ Months</v>
      </c>
      <c r="M380"/>
      <c r="N380" s="1"/>
      <c r="O380" s="8"/>
      <c r="P380" s="9"/>
      <c r="Q380"/>
      <c r="R380"/>
      <c r="V380"/>
      <c r="W380"/>
      <c r="X380"/>
    </row>
    <row r="381" spans="2:24" x14ac:dyDescent="0.3">
      <c r="B381" s="10" t="str">
        <f t="shared" ca="1" si="10"/>
        <v>HCP_146885</v>
      </c>
      <c r="C381" s="11" t="s">
        <v>8</v>
      </c>
      <c r="D381" s="12">
        <v>43984</v>
      </c>
      <c r="E381" s="12">
        <v>44818</v>
      </c>
      <c r="F381" s="11">
        <v>8</v>
      </c>
      <c r="G381" s="11">
        <v>40</v>
      </c>
      <c r="H381" s="11">
        <v>28</v>
      </c>
      <c r="I381" s="11" t="s">
        <v>14</v>
      </c>
      <c r="J381" s="13" t="s">
        <v>10</v>
      </c>
      <c r="K381" s="10">
        <f>Table1[[#This Row],[Date of last Dispense]]-Table1[[#This Row],[Date of 1st Dispense]]</f>
        <v>834</v>
      </c>
      <c r="L381" s="10" t="str">
        <f t="shared" si="11"/>
        <v>12+ Months</v>
      </c>
      <c r="M381"/>
      <c r="N381" s="1"/>
      <c r="O381" s="8"/>
      <c r="P381" s="9"/>
      <c r="Q381"/>
      <c r="R381"/>
      <c r="V381"/>
      <c r="W381"/>
      <c r="X381"/>
    </row>
    <row r="382" spans="2:24" x14ac:dyDescent="0.3">
      <c r="B382" s="10" t="str">
        <f t="shared" ca="1" si="10"/>
        <v>HCP_554143</v>
      </c>
      <c r="C382" s="11" t="s">
        <v>8</v>
      </c>
      <c r="D382" s="12">
        <v>43983</v>
      </c>
      <c r="E382" s="12">
        <v>44824</v>
      </c>
      <c r="F382" s="11">
        <v>61</v>
      </c>
      <c r="G382" s="11">
        <v>3</v>
      </c>
      <c r="H382" s="11">
        <v>7</v>
      </c>
      <c r="I382" s="11" t="s">
        <v>13</v>
      </c>
      <c r="J382" s="13" t="s">
        <v>10</v>
      </c>
      <c r="K382" s="10">
        <f>Table1[[#This Row],[Date of last Dispense]]-Table1[[#This Row],[Date of 1st Dispense]]</f>
        <v>841</v>
      </c>
      <c r="L382" s="10" t="str">
        <f t="shared" si="11"/>
        <v>12+ Months</v>
      </c>
      <c r="M382"/>
      <c r="N382" s="1"/>
      <c r="O382" s="8"/>
      <c r="P382" s="9"/>
      <c r="Q382"/>
      <c r="R382"/>
      <c r="V382"/>
      <c r="W382"/>
      <c r="X382"/>
    </row>
    <row r="383" spans="2:24" x14ac:dyDescent="0.3">
      <c r="B383" s="10" t="str">
        <f t="shared" ca="1" si="10"/>
        <v>HCP_247079</v>
      </c>
      <c r="C383" s="11" t="s">
        <v>23</v>
      </c>
      <c r="D383" s="12">
        <v>43979</v>
      </c>
      <c r="E383" s="12">
        <v>44811</v>
      </c>
      <c r="F383" s="11">
        <v>51</v>
      </c>
      <c r="G383" s="11">
        <v>35</v>
      </c>
      <c r="H383" s="11">
        <v>23</v>
      </c>
      <c r="I383" s="11" t="s">
        <v>9</v>
      </c>
      <c r="J383" s="13" t="s">
        <v>10</v>
      </c>
      <c r="K383" s="10">
        <f>Table1[[#This Row],[Date of last Dispense]]-Table1[[#This Row],[Date of 1st Dispense]]</f>
        <v>832</v>
      </c>
      <c r="L383" s="10" t="str">
        <f t="shared" si="11"/>
        <v>12+ Months</v>
      </c>
      <c r="M383"/>
      <c r="N383" s="1"/>
      <c r="O383" s="8"/>
      <c r="P383" s="9"/>
      <c r="Q383"/>
      <c r="R383"/>
      <c r="V383"/>
      <c r="W383"/>
      <c r="X383"/>
    </row>
    <row r="384" spans="2:24" x14ac:dyDescent="0.3">
      <c r="B384" s="10" t="str">
        <f t="shared" ca="1" si="10"/>
        <v>HCP_150211</v>
      </c>
      <c r="C384" s="11" t="s">
        <v>12</v>
      </c>
      <c r="D384" s="12">
        <v>43972</v>
      </c>
      <c r="E384" s="12">
        <v>44522</v>
      </c>
      <c r="F384" s="11">
        <v>53</v>
      </c>
      <c r="G384" s="11">
        <v>14</v>
      </c>
      <c r="H384" s="11">
        <v>21</v>
      </c>
      <c r="I384" s="11" t="s">
        <v>13</v>
      </c>
      <c r="J384" s="13" t="s">
        <v>16</v>
      </c>
      <c r="K384" s="10">
        <f>Table1[[#This Row],[Date of last Dispense]]-Table1[[#This Row],[Date of 1st Dispense]]</f>
        <v>550</v>
      </c>
      <c r="L384" s="10" t="str">
        <f t="shared" si="11"/>
        <v>12+ Months</v>
      </c>
      <c r="M384"/>
      <c r="N384" s="1"/>
      <c r="O384" s="8"/>
      <c r="P384" s="9"/>
      <c r="Q384"/>
      <c r="R384"/>
      <c r="V384"/>
      <c r="W384"/>
      <c r="X384"/>
    </row>
    <row r="385" spans="2:24" x14ac:dyDescent="0.3">
      <c r="B385" s="10" t="str">
        <f t="shared" ca="1" si="10"/>
        <v>HCP_342127</v>
      </c>
      <c r="C385" s="11" t="s">
        <v>8</v>
      </c>
      <c r="D385" s="12">
        <v>43972</v>
      </c>
      <c r="E385" s="12">
        <v>44812</v>
      </c>
      <c r="F385" s="11">
        <v>22</v>
      </c>
      <c r="G385" s="11">
        <v>13</v>
      </c>
      <c r="H385" s="11">
        <v>20</v>
      </c>
      <c r="I385" s="11" t="s">
        <v>19</v>
      </c>
      <c r="J385" s="13" t="s">
        <v>10</v>
      </c>
      <c r="K385" s="10">
        <f>Table1[[#This Row],[Date of last Dispense]]-Table1[[#This Row],[Date of 1st Dispense]]</f>
        <v>840</v>
      </c>
      <c r="L385" s="10" t="str">
        <f t="shared" si="11"/>
        <v>12+ Months</v>
      </c>
      <c r="M385"/>
      <c r="N385" s="1"/>
      <c r="O385" s="8"/>
      <c r="P385" s="9"/>
      <c r="Q385"/>
      <c r="R385"/>
      <c r="V385"/>
      <c r="W385"/>
      <c r="X385"/>
    </row>
    <row r="386" spans="2:24" x14ac:dyDescent="0.3">
      <c r="B386" s="10" t="str">
        <f t="shared" ca="1" si="10"/>
        <v>HCP_786155</v>
      </c>
      <c r="C386" s="11" t="s">
        <v>27</v>
      </c>
      <c r="D386" s="12">
        <v>43972</v>
      </c>
      <c r="E386" s="12">
        <v>44817</v>
      </c>
      <c r="F386" s="11">
        <v>32</v>
      </c>
      <c r="G386" s="11">
        <v>35</v>
      </c>
      <c r="H386" s="11">
        <v>10</v>
      </c>
      <c r="I386" s="11" t="s">
        <v>14</v>
      </c>
      <c r="J386" s="13" t="s">
        <v>10</v>
      </c>
      <c r="K386" s="10">
        <f>Table1[[#This Row],[Date of last Dispense]]-Table1[[#This Row],[Date of 1st Dispense]]</f>
        <v>845</v>
      </c>
      <c r="L386" s="10" t="str">
        <f t="shared" si="11"/>
        <v>12+ Months</v>
      </c>
      <c r="M386"/>
      <c r="N386" s="1"/>
      <c r="O386" s="8"/>
      <c r="P386" s="9"/>
      <c r="Q386"/>
      <c r="R386"/>
      <c r="V386"/>
      <c r="W386"/>
      <c r="X386"/>
    </row>
    <row r="387" spans="2:24" x14ac:dyDescent="0.3">
      <c r="B387" s="10" t="str">
        <f t="shared" ref="B387:B394" ca="1" si="12">"HCP_"&amp;TEXT(RANDBETWEEN(100000,999999),"000000")</f>
        <v>HCP_826638</v>
      </c>
      <c r="C387" s="11" t="s">
        <v>8</v>
      </c>
      <c r="D387" s="12">
        <v>43969</v>
      </c>
      <c r="E387" s="12">
        <v>44818</v>
      </c>
      <c r="F387" s="11">
        <v>59</v>
      </c>
      <c r="G387" s="11">
        <v>27</v>
      </c>
      <c r="H387" s="11">
        <v>4</v>
      </c>
      <c r="I387" s="11" t="s">
        <v>14</v>
      </c>
      <c r="J387" s="13" t="s">
        <v>10</v>
      </c>
      <c r="K387" s="10">
        <f>Table1[[#This Row],[Date of last Dispense]]-Table1[[#This Row],[Date of 1st Dispense]]</f>
        <v>849</v>
      </c>
      <c r="L387" s="10" t="str">
        <f t="shared" ref="L387:L394" si="13">IF(K387&lt;=90, "0-3 Months",IF(K387&lt;=180,"3-6 Months",IF(K387&lt;=365, "6-12 Months", "12+ Months")))</f>
        <v>12+ Months</v>
      </c>
      <c r="M387"/>
      <c r="N387" s="1"/>
      <c r="O387" s="8"/>
      <c r="P387" s="9"/>
      <c r="Q387"/>
      <c r="R387"/>
      <c r="V387"/>
      <c r="W387"/>
      <c r="X387"/>
    </row>
    <row r="388" spans="2:24" x14ac:dyDescent="0.3">
      <c r="B388" s="10" t="str">
        <f t="shared" ca="1" si="12"/>
        <v>HCP_223694</v>
      </c>
      <c r="C388" s="11" t="s">
        <v>8</v>
      </c>
      <c r="D388" s="12">
        <v>43963</v>
      </c>
      <c r="E388" s="12">
        <v>44818</v>
      </c>
      <c r="F388" s="11">
        <v>25</v>
      </c>
      <c r="G388" s="11">
        <v>24</v>
      </c>
      <c r="H388" s="11">
        <v>7</v>
      </c>
      <c r="I388" s="11" t="s">
        <v>14</v>
      </c>
      <c r="J388" s="13" t="s">
        <v>10</v>
      </c>
      <c r="K388" s="10">
        <f>Table1[[#This Row],[Date of last Dispense]]-Table1[[#This Row],[Date of 1st Dispense]]</f>
        <v>855</v>
      </c>
      <c r="L388" s="10" t="str">
        <f t="shared" si="13"/>
        <v>12+ Months</v>
      </c>
      <c r="M388"/>
      <c r="N388" s="1"/>
      <c r="O388" s="8"/>
      <c r="P388" s="9"/>
      <c r="Q388"/>
      <c r="R388"/>
      <c r="V388"/>
      <c r="W388"/>
      <c r="X388"/>
    </row>
    <row r="389" spans="2:24" x14ac:dyDescent="0.3">
      <c r="B389" s="10" t="str">
        <f t="shared" ca="1" si="12"/>
        <v>HCP_413399</v>
      </c>
      <c r="C389" s="11" t="s">
        <v>8</v>
      </c>
      <c r="D389" s="12">
        <v>43963</v>
      </c>
      <c r="E389" s="12">
        <v>44804</v>
      </c>
      <c r="F389" s="11">
        <v>47</v>
      </c>
      <c r="G389" s="11">
        <v>3</v>
      </c>
      <c r="H389" s="11">
        <v>3</v>
      </c>
      <c r="I389" s="11" t="s">
        <v>9</v>
      </c>
      <c r="J389" s="13" t="s">
        <v>10</v>
      </c>
      <c r="K389" s="10">
        <f>Table1[[#This Row],[Date of last Dispense]]-Table1[[#This Row],[Date of 1st Dispense]]</f>
        <v>841</v>
      </c>
      <c r="L389" s="10" t="str">
        <f t="shared" si="13"/>
        <v>12+ Months</v>
      </c>
      <c r="M389"/>
      <c r="N389" s="1"/>
      <c r="O389" s="8"/>
      <c r="P389" s="9"/>
      <c r="Q389"/>
      <c r="R389"/>
      <c r="V389"/>
      <c r="W389"/>
      <c r="X389"/>
    </row>
    <row r="390" spans="2:24" x14ac:dyDescent="0.3">
      <c r="B390" s="10" t="str">
        <f t="shared" ca="1" si="12"/>
        <v>HCP_522584</v>
      </c>
      <c r="C390" s="11" t="s">
        <v>17</v>
      </c>
      <c r="D390" s="12">
        <v>43958</v>
      </c>
      <c r="E390" s="12">
        <v>44607</v>
      </c>
      <c r="F390" s="11">
        <v>45</v>
      </c>
      <c r="G390" s="11">
        <v>7</v>
      </c>
      <c r="H390" s="11">
        <v>29</v>
      </c>
      <c r="I390" s="11" t="s">
        <v>13</v>
      </c>
      <c r="J390" s="13" t="s">
        <v>16</v>
      </c>
      <c r="K390" s="10">
        <f>Table1[[#This Row],[Date of last Dispense]]-Table1[[#This Row],[Date of 1st Dispense]]</f>
        <v>649</v>
      </c>
      <c r="L390" s="10" t="str">
        <f t="shared" si="13"/>
        <v>12+ Months</v>
      </c>
      <c r="M390"/>
      <c r="N390" s="1"/>
      <c r="O390" s="8"/>
      <c r="P390" s="9"/>
      <c r="Q390"/>
      <c r="R390"/>
      <c r="V390"/>
      <c r="W390"/>
      <c r="X390"/>
    </row>
    <row r="391" spans="2:24" x14ac:dyDescent="0.3">
      <c r="B391" s="10" t="str">
        <f t="shared" ca="1" si="12"/>
        <v>HCP_949957</v>
      </c>
      <c r="C391" s="11" t="s">
        <v>8</v>
      </c>
      <c r="D391" s="12">
        <v>43956</v>
      </c>
      <c r="E391" s="12">
        <v>44826</v>
      </c>
      <c r="F391" s="11">
        <v>7</v>
      </c>
      <c r="G391" s="11">
        <v>29</v>
      </c>
      <c r="H391" s="11">
        <v>22</v>
      </c>
      <c r="I391" s="11" t="s">
        <v>15</v>
      </c>
      <c r="J391" s="13" t="s">
        <v>10</v>
      </c>
      <c r="K391" s="10">
        <f>Table1[[#This Row],[Date of last Dispense]]-Table1[[#This Row],[Date of 1st Dispense]]</f>
        <v>870</v>
      </c>
      <c r="L391" s="10" t="str">
        <f t="shared" si="13"/>
        <v>12+ Months</v>
      </c>
      <c r="M391"/>
      <c r="N391" s="1"/>
      <c r="O391" s="8"/>
      <c r="P391" s="9"/>
      <c r="Q391"/>
      <c r="R391"/>
      <c r="V391"/>
      <c r="W391"/>
      <c r="X391"/>
    </row>
    <row r="392" spans="2:24" x14ac:dyDescent="0.3">
      <c r="B392" s="10" t="str">
        <f t="shared" ca="1" si="12"/>
        <v>HCP_867468</v>
      </c>
      <c r="C392" s="11" t="s">
        <v>17</v>
      </c>
      <c r="D392" s="12">
        <v>44049</v>
      </c>
      <c r="E392" s="12">
        <v>44824</v>
      </c>
      <c r="F392" s="11">
        <v>58</v>
      </c>
      <c r="G392" s="11">
        <v>17</v>
      </c>
      <c r="H392" s="11">
        <v>14</v>
      </c>
      <c r="I392" s="11" t="s">
        <v>15</v>
      </c>
      <c r="J392" s="13" t="s">
        <v>10</v>
      </c>
      <c r="K392" s="10">
        <f>Table1[[#This Row],[Date of last Dispense]]-Table1[[#This Row],[Date of 1st Dispense]]</f>
        <v>775</v>
      </c>
      <c r="L392" s="10" t="str">
        <f t="shared" si="13"/>
        <v>12+ Months</v>
      </c>
      <c r="M392"/>
      <c r="N392" s="1"/>
      <c r="O392" s="8"/>
      <c r="P392" s="9"/>
      <c r="Q392"/>
      <c r="R392"/>
      <c r="V392"/>
      <c r="W392"/>
      <c r="X392"/>
    </row>
    <row r="393" spans="2:24" x14ac:dyDescent="0.3">
      <c r="B393" s="10" t="str">
        <f t="shared" ca="1" si="12"/>
        <v>HCP_388428</v>
      </c>
      <c r="C393" s="11" t="s">
        <v>8</v>
      </c>
      <c r="D393" s="12">
        <v>43907</v>
      </c>
      <c r="E393" s="12">
        <v>44823</v>
      </c>
      <c r="F393" s="11">
        <v>46</v>
      </c>
      <c r="G393" s="11">
        <v>28</v>
      </c>
      <c r="H393" s="11">
        <v>26</v>
      </c>
      <c r="I393" s="11" t="s">
        <v>14</v>
      </c>
      <c r="J393" s="13" t="s">
        <v>10</v>
      </c>
      <c r="K393" s="10">
        <f>Table1[[#This Row],[Date of last Dispense]]-Table1[[#This Row],[Date of 1st Dispense]]</f>
        <v>916</v>
      </c>
      <c r="L393" s="10" t="str">
        <f t="shared" si="13"/>
        <v>12+ Months</v>
      </c>
      <c r="M393"/>
      <c r="N393" s="1"/>
      <c r="O393" s="8"/>
      <c r="P393" s="9"/>
      <c r="Q393"/>
      <c r="R393"/>
      <c r="V393"/>
      <c r="W393"/>
      <c r="X393"/>
    </row>
    <row r="394" spans="2:24" x14ac:dyDescent="0.3">
      <c r="B394" s="10" t="str">
        <f t="shared" ca="1" si="12"/>
        <v>HCP_455664</v>
      </c>
      <c r="C394" s="14" t="s">
        <v>17</v>
      </c>
      <c r="D394" s="15">
        <v>43901</v>
      </c>
      <c r="E394" s="15">
        <v>44802</v>
      </c>
      <c r="F394" s="11">
        <v>29</v>
      </c>
      <c r="G394" s="11">
        <v>34</v>
      </c>
      <c r="H394" s="11">
        <v>21</v>
      </c>
      <c r="I394" s="11" t="s">
        <v>19</v>
      </c>
      <c r="J394" s="16" t="s">
        <v>10</v>
      </c>
      <c r="K394" s="10">
        <f>Table1[[#This Row],[Date of last Dispense]]-Table1[[#This Row],[Date of 1st Dispense]]</f>
        <v>901</v>
      </c>
      <c r="L394" s="10" t="str">
        <f t="shared" si="13"/>
        <v>12+ Months</v>
      </c>
      <c r="M394"/>
      <c r="N394" s="1"/>
      <c r="O394" s="8"/>
      <c r="P394" s="9"/>
      <c r="Q394"/>
      <c r="R394"/>
      <c r="V394"/>
      <c r="W394"/>
      <c r="X394"/>
    </row>
  </sheetData>
  <conditionalFormatting sqref="B3:B394">
    <cfRule type="duplicateValues" dxfId="1" priority="2"/>
    <cfRule type="duplicateValues" dxfId="0" priority="3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63E91-62FE-4BF2-B93A-2D12F38DF6B9}">
  <dimension ref="A1:D28"/>
  <sheetViews>
    <sheetView workbookViewId="0">
      <selection activeCell="B11" sqref="B11"/>
    </sheetView>
  </sheetViews>
  <sheetFormatPr defaultRowHeight="14.4" x14ac:dyDescent="0.3"/>
  <cols>
    <col min="1" max="1" width="27.109375" customWidth="1"/>
    <col min="2" max="2" width="17.21875" customWidth="1"/>
    <col min="3" max="3" width="18.21875" customWidth="1"/>
  </cols>
  <sheetData>
    <row r="1" spans="1:4" x14ac:dyDescent="0.3">
      <c r="A1" s="28" t="s">
        <v>61</v>
      </c>
      <c r="B1" s="28" t="s">
        <v>62</v>
      </c>
    </row>
    <row r="2" spans="1:4" x14ac:dyDescent="0.3">
      <c r="A2" s="31" t="s">
        <v>0</v>
      </c>
      <c r="B2" s="39" t="s">
        <v>42</v>
      </c>
      <c r="C2" s="37"/>
      <c r="D2" s="38"/>
    </row>
    <row r="3" spans="1:4" x14ac:dyDescent="0.3">
      <c r="A3" s="11" t="s">
        <v>8</v>
      </c>
      <c r="B3" s="36">
        <f>SUMIF(Table1[Specialty],A3,Table1[Enrollments])</f>
        <v>10243</v>
      </c>
      <c r="C3" s="11"/>
      <c r="D3" s="10"/>
    </row>
    <row r="4" spans="1:4" x14ac:dyDescent="0.3">
      <c r="A4" s="11" t="s">
        <v>17</v>
      </c>
      <c r="B4" s="36">
        <f>SUMIF(Table1[Specialty],A4,Table1[Enrollments])</f>
        <v>1893</v>
      </c>
      <c r="C4" s="11"/>
      <c r="D4" s="10"/>
    </row>
    <row r="5" spans="1:4" x14ac:dyDescent="0.3">
      <c r="A5" s="11" t="s">
        <v>20</v>
      </c>
      <c r="B5" s="36">
        <f>SUMIF(Table1[Specialty],A5,Table1[Enrollments])</f>
        <v>413</v>
      </c>
      <c r="C5" s="11"/>
      <c r="D5" s="10"/>
    </row>
    <row r="6" spans="1:4" x14ac:dyDescent="0.3">
      <c r="A6" s="11" t="s">
        <v>12</v>
      </c>
      <c r="B6" s="36">
        <f>SUMIF(Table1[Specialty],A6,Table1[Enrollments])</f>
        <v>392</v>
      </c>
      <c r="C6" s="11"/>
      <c r="D6" s="10"/>
    </row>
    <row r="7" spans="1:4" x14ac:dyDescent="0.3">
      <c r="A7" s="11" t="s">
        <v>18</v>
      </c>
      <c r="B7" s="36">
        <f>SUMIF(Table1[Specialty],A7,Table1[Enrollments])</f>
        <v>331</v>
      </c>
      <c r="C7" s="11"/>
      <c r="D7" s="10"/>
    </row>
    <row r="10" spans="1:4" ht="40.799999999999997" customHeight="1" x14ac:dyDescent="0.3">
      <c r="A10" s="27" t="s">
        <v>49</v>
      </c>
      <c r="B10" s="32" t="s">
        <v>50</v>
      </c>
      <c r="C10" s="34" t="s">
        <v>51</v>
      </c>
    </row>
    <row r="11" spans="1:4" x14ac:dyDescent="0.3">
      <c r="A11" s="30" t="s">
        <v>43</v>
      </c>
      <c r="B11" s="33">
        <f>COUNTIF(Table1[[#All],[Rx Duration Buckets ]],A11)</f>
        <v>26</v>
      </c>
      <c r="C11">
        <f>AVERAGEIF(Table1[[Rx Duration Buckets ]],'Question 2,3,4,5&amp;6'!A11,Table1[[#All],[Enrollments]])</f>
        <v>38.230769230769234</v>
      </c>
    </row>
    <row r="12" spans="1:4" x14ac:dyDescent="0.3">
      <c r="A12" s="30" t="s">
        <v>44</v>
      </c>
      <c r="B12" s="33">
        <f>COUNTIF(Table1[[#All],[Rx Duration Buckets ]],A12)</f>
        <v>16</v>
      </c>
      <c r="C12">
        <f>AVERAGEIF(Table1[[Rx Duration Buckets ]],'Question 2,3,4,5&amp;6'!A12,Table1[[#All],[Enrollments]])</f>
        <v>41.9375</v>
      </c>
    </row>
    <row r="13" spans="1:4" x14ac:dyDescent="0.3">
      <c r="A13" s="30" t="s">
        <v>45</v>
      </c>
      <c r="B13" s="33">
        <f>COUNTIF(Table1[[#All],[Rx Duration Buckets ]],A13)</f>
        <v>104</v>
      </c>
      <c r="C13">
        <f>AVERAGEIF(Table1[[Rx Duration Buckets ]],'Question 2,3,4,5&amp;6'!A13,Table1[[#All],[Enrollments]])</f>
        <v>35.533980582524272</v>
      </c>
    </row>
    <row r="14" spans="1:4" x14ac:dyDescent="0.3">
      <c r="A14" s="30" t="s">
        <v>46</v>
      </c>
      <c r="B14" s="33">
        <f>COUNTIF(Table1[[#All],[Rx Duration Buckets ]],A14)</f>
        <v>246</v>
      </c>
      <c r="C14" s="10">
        <f>AVERAGEIF(Table1[[Rx Duration Buckets ]],'Question 2,3,4,5&amp;6'!A14,Table1[[#All],[Enrollments]])</f>
        <v>35.162601626016261</v>
      </c>
    </row>
    <row r="17" spans="1:3" x14ac:dyDescent="0.3">
      <c r="A17" s="28" t="s">
        <v>52</v>
      </c>
      <c r="B17" s="29"/>
      <c r="C17" s="28" t="s">
        <v>53</v>
      </c>
    </row>
    <row r="18" spans="1:3" x14ac:dyDescent="0.3">
      <c r="A18" s="28" t="s">
        <v>54</v>
      </c>
      <c r="B18" s="28" t="s">
        <v>55</v>
      </c>
    </row>
    <row r="19" spans="1:3" x14ac:dyDescent="0.3">
      <c r="A19" s="35">
        <v>2021</v>
      </c>
      <c r="B19" s="10">
        <f>AVERAGEIFS(Table1[NPS],Table1[Date of 1st Dispense],"&gt;=01-01-2021",Table1[Date of 1st Dispense],"&lt;=31-12-2021")</f>
        <v>24.671568627450981</v>
      </c>
    </row>
    <row r="20" spans="1:3" x14ac:dyDescent="0.3">
      <c r="A20" s="35">
        <v>2022</v>
      </c>
      <c r="B20" s="10">
        <f>AVERAGEIFS(Table1[NPS],Table1[Date of 1st Dispense],"&gt;=01-01-2022",Table1[Date of 1st Dispense],"&lt;=31-12-2022")</f>
        <v>26.578947368421051</v>
      </c>
    </row>
    <row r="21" spans="1:3" x14ac:dyDescent="0.3">
      <c r="A21" s="40"/>
      <c r="B21" s="41"/>
    </row>
    <row r="23" spans="1:3" x14ac:dyDescent="0.3">
      <c r="A23" s="28" t="s">
        <v>56</v>
      </c>
      <c r="B23" s="28" t="s">
        <v>60</v>
      </c>
    </row>
    <row r="24" spans="1:3" x14ac:dyDescent="0.3">
      <c r="A24" s="28" t="s">
        <v>57</v>
      </c>
      <c r="B24" s="28">
        <v>2021</v>
      </c>
      <c r="C24" s="28">
        <v>2022</v>
      </c>
    </row>
    <row r="25" spans="1:3" x14ac:dyDescent="0.3">
      <c r="A25" s="35" t="s">
        <v>47</v>
      </c>
      <c r="B25" s="10">
        <f>AVERAGEIFS(Table1[Enrollments],Table1[Date of 1st Dispense],"&gt;=01-01-2021",Table1[Date of 1st Dispense],"&lt;=31-12-2021")</f>
        <v>34.299019607843135</v>
      </c>
      <c r="C25" s="10">
        <f>AVERAGEIFS(Table1[Enrollments],Table1[Date of last Dispense],"&gt;=01-01-2022",Table1[Date of last Dispense],"&lt;=31-12-2022")</f>
        <v>34.757668711656443</v>
      </c>
    </row>
    <row r="26" spans="1:3" x14ac:dyDescent="0.3">
      <c r="A26" s="35" t="s">
        <v>55</v>
      </c>
      <c r="B26" s="10">
        <f>AVERAGEIFS(Table1[NPS],Table1[Date of 1st Dispense],"&gt;=01-01-2021",Table1[Date of 1st Dispense],"&lt;=31-12-2021")</f>
        <v>24.671568627450981</v>
      </c>
      <c r="C26" s="10">
        <f>AVERAGEIFS(Table1[NPS],Table1[Date of 1st Dispense],"&gt;=01-01-2022",Table1[Date of 1st Dispense],"&lt;=31-12-2022")</f>
        <v>26.578947368421051</v>
      </c>
    </row>
    <row r="27" spans="1:3" x14ac:dyDescent="0.3">
      <c r="A27" s="35" t="s">
        <v>58</v>
      </c>
      <c r="B27" s="10">
        <f>AVERAGEIFS(Table1[Discontinuations],Table1[Date of 1st Dispense],"&gt;=01-01-2021",Table1[Date of 1st Dispense],"&lt;=31-12-2021")</f>
        <v>14.5</v>
      </c>
      <c r="C27" s="10">
        <f>AVERAGEIFS(Table1[Discontinuations],Table1[Date of 1st Dispense],"&gt;=01-01-2022",Table1[Date of 1st Dispense],"&lt;=31-12-2022")</f>
        <v>16.210526315789473</v>
      </c>
    </row>
    <row r="28" spans="1:3" x14ac:dyDescent="0.3">
      <c r="A28" s="35" t="s">
        <v>59</v>
      </c>
      <c r="B28" s="10">
        <f>COUNTIFS(Table1[Date of 1st Dispense],"&gt;=01-01-2021",Table1[Date of 1st Dispense],"&lt;=31-12-2021",Table1[Active HCP],"Active") / COUNTIFS(Table1[Date of 1st Dispense],"&gt;=01-01-2021",Table1[Date of 1st Dispense],"&lt;=31-12-2021")</f>
        <v>0.69117647058823528</v>
      </c>
      <c r="C28" s="10">
        <f>COUNTIFS(Table1[Date of 1st Dispense],"&gt;=01-01-2022",Table1[Date of 1st Dispense],"&lt;=31-12-2022",Table1[Active HCP],"Active") / COUNTIFS(Table1[Date of 1st Dispense],"&gt;=01-01-2022",Table1[Date of 1st Dispense],"&lt;=31-12-2022")</f>
        <v>0.89473684210526316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5305-A534-4919-85E8-FF8BD63640D0}">
  <dimension ref="A1:L23"/>
  <sheetViews>
    <sheetView workbookViewId="0">
      <selection activeCell="F20" sqref="F20"/>
    </sheetView>
  </sheetViews>
  <sheetFormatPr defaultRowHeight="14.4" x14ac:dyDescent="0.3"/>
  <cols>
    <col min="1" max="1" width="13.5546875" customWidth="1"/>
  </cols>
  <sheetData>
    <row r="1" spans="1:12" x14ac:dyDescent="0.3">
      <c r="A1" s="26" t="s">
        <v>63</v>
      </c>
    </row>
    <row r="2" spans="1:12" x14ac:dyDescent="0.3">
      <c r="A2" s="42" t="s">
        <v>64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4" spans="1:12" x14ac:dyDescent="0.3">
      <c r="A4" s="26" t="s">
        <v>65</v>
      </c>
    </row>
    <row r="5" spans="1:12" x14ac:dyDescent="0.3">
      <c r="A5" t="s">
        <v>66</v>
      </c>
    </row>
    <row r="7" spans="1:12" x14ac:dyDescent="0.3">
      <c r="A7" s="26" t="s">
        <v>67</v>
      </c>
    </row>
    <row r="8" spans="1:12" x14ac:dyDescent="0.3">
      <c r="A8" t="s">
        <v>68</v>
      </c>
    </row>
    <row r="10" spans="1:12" x14ac:dyDescent="0.3">
      <c r="A10" s="26" t="s">
        <v>69</v>
      </c>
    </row>
    <row r="11" spans="1:12" x14ac:dyDescent="0.3">
      <c r="A11" t="s">
        <v>70</v>
      </c>
    </row>
    <row r="13" spans="1:12" x14ac:dyDescent="0.3">
      <c r="A13" s="26" t="s">
        <v>71</v>
      </c>
    </row>
    <row r="14" spans="1:12" x14ac:dyDescent="0.3">
      <c r="A14" t="s">
        <v>72</v>
      </c>
    </row>
    <row r="16" spans="1:12" x14ac:dyDescent="0.3">
      <c r="A16" s="26" t="s">
        <v>73</v>
      </c>
    </row>
    <row r="17" spans="1:2" x14ac:dyDescent="0.3">
      <c r="A17" t="s">
        <v>74</v>
      </c>
    </row>
    <row r="19" spans="1:2" x14ac:dyDescent="0.3">
      <c r="A19" s="26" t="s">
        <v>75</v>
      </c>
      <c r="B19" s="26"/>
    </row>
    <row r="20" spans="1:2" x14ac:dyDescent="0.3">
      <c r="A20" t="s">
        <v>76</v>
      </c>
    </row>
    <row r="21" spans="1:2" x14ac:dyDescent="0.3">
      <c r="A21" t="s">
        <v>79</v>
      </c>
    </row>
    <row r="22" spans="1:2" x14ac:dyDescent="0.3">
      <c r="A22" t="s">
        <v>77</v>
      </c>
    </row>
    <row r="23" spans="1:2" x14ac:dyDescent="0.3">
      <c r="A2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Avg_Patients  &amp; Dispenses</vt:lpstr>
      <vt:lpstr>Question 2,3,4,5&amp;6</vt:lpstr>
      <vt:lpstr>Case study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Naik</dc:creator>
  <cp:lastModifiedBy>Shraddha</cp:lastModifiedBy>
  <dcterms:created xsi:type="dcterms:W3CDTF">2023-03-10T08:47:24Z</dcterms:created>
  <dcterms:modified xsi:type="dcterms:W3CDTF">2025-12-09T06:43:16Z</dcterms:modified>
</cp:coreProperties>
</file>